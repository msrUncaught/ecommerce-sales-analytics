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568d98da2d1e31bd/Desktop/uncaught mansoor/First real project/"/>
    </mc:Choice>
  </mc:AlternateContent>
  <xr:revisionPtr revIDLastSave="68" documentId="8_{D809DA2C-326E-4ECF-BF9C-3631520E23CB}" xr6:coauthVersionLast="47" xr6:coauthVersionMax="47" xr10:uidLastSave="{7F32A733-A3CE-41B4-BF08-2757FECB229D}"/>
  <bookViews>
    <workbookView xWindow="-108" yWindow="-108" windowWidth="23256" windowHeight="13176" activeTab="3" xr2:uid="{00000000-000D-0000-FFFF-FFFF00000000}"/>
  </bookViews>
  <sheets>
    <sheet name="Sheet1" sheetId="1" r:id="rId1"/>
    <sheet name="Pivot_Analysis" sheetId="2" r:id="rId2"/>
    <sheet name="Monthly_Analysis" sheetId="3" r:id="rId3"/>
    <sheet name="Dashboard" sheetId="4" r:id="rId4"/>
  </sheets>
  <externalReferences>
    <externalReference r:id="rId5"/>
  </externalReferences>
  <definedNames>
    <definedName name="_xlnm._FilterDatabase" localSheetId="0" hidden="1">Sheet1!$A$1:$L$1006</definedName>
    <definedName name="Slicer_Category">#N/A</definedName>
    <definedName name="Slicer_City">#N/A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D3" i="4"/>
  <c r="B3" i="4"/>
  <c r="D5" i="3"/>
  <c r="D6" i="3"/>
  <c r="D7" i="3"/>
  <c r="D8" i="3"/>
  <c r="D9" i="3"/>
  <c r="D10" i="3"/>
  <c r="D11" i="3"/>
  <c r="D12" i="3"/>
  <c r="D13" i="3"/>
  <c r="D14" i="3"/>
  <c r="D15" i="3"/>
  <c r="D16" i="3"/>
  <c r="D4" i="3"/>
  <c r="D5" i="2"/>
  <c r="D6" i="2"/>
  <c r="D7" i="2"/>
  <c r="D8" i="2"/>
  <c r="H3" i="4" s="1"/>
  <c r="D4"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2" i="1"/>
</calcChain>
</file>

<file path=xl/sharedStrings.xml><?xml version="1.0" encoding="utf-8"?>
<sst xmlns="http://schemas.openxmlformats.org/spreadsheetml/2006/main" count="5042" uniqueCount="233">
  <si>
    <t>Order_ID</t>
  </si>
  <si>
    <t>Order_Date</t>
  </si>
  <si>
    <t>Customer_ID</t>
  </si>
  <si>
    <t>Customer_Name</t>
  </si>
  <si>
    <t>City</t>
  </si>
  <si>
    <t>Category</t>
  </si>
  <si>
    <t>Product</t>
  </si>
  <si>
    <t>Quantity</t>
  </si>
  <si>
    <t>Sales</t>
  </si>
  <si>
    <t>Discount</t>
  </si>
  <si>
    <t>Profit</t>
  </si>
  <si>
    <t>C1214</t>
  </si>
  <si>
    <t>C1135</t>
  </si>
  <si>
    <t>C1125</t>
  </si>
  <si>
    <t>C1142</t>
  </si>
  <si>
    <t>C1126</t>
  </si>
  <si>
    <t>C1168</t>
  </si>
  <si>
    <t>C1247</t>
  </si>
  <si>
    <t>C1110</t>
  </si>
  <si>
    <t>C1173</t>
  </si>
  <si>
    <t>C1203</t>
  </si>
  <si>
    <t>C1137</t>
  </si>
  <si>
    <t>C1233</t>
  </si>
  <si>
    <t>C1122</t>
  </si>
  <si>
    <t>C1146</t>
  </si>
  <si>
    <t>C1189</t>
  </si>
  <si>
    <t>C1145</t>
  </si>
  <si>
    <t>C1206</t>
  </si>
  <si>
    <t>C1239</t>
  </si>
  <si>
    <t>C1240</t>
  </si>
  <si>
    <t>C1210</t>
  </si>
  <si>
    <t>C1159</t>
  </si>
  <si>
    <t>C1199</t>
  </si>
  <si>
    <t>C1167</t>
  </si>
  <si>
    <t>C1232</t>
  </si>
  <si>
    <t>C1219</t>
  </si>
  <si>
    <t>C1136</t>
  </si>
  <si>
    <t>C1171</t>
  </si>
  <si>
    <t>C1226</t>
  </si>
  <si>
    <t>C1205</t>
  </si>
  <si>
    <t>C1191</t>
  </si>
  <si>
    <t>C1130</t>
  </si>
  <si>
    <t>C1221</t>
  </si>
  <si>
    <t>C1236</t>
  </si>
  <si>
    <t>C1150</t>
  </si>
  <si>
    <t>C1128</t>
  </si>
  <si>
    <t>C1139</t>
  </si>
  <si>
    <t>C1140</t>
  </si>
  <si>
    <t>C1100</t>
  </si>
  <si>
    <t>C1200</t>
  </si>
  <si>
    <t>C1248</t>
  </si>
  <si>
    <t>C1209</t>
  </si>
  <si>
    <t>C1156</t>
  </si>
  <si>
    <t>C1162</t>
  </si>
  <si>
    <t>C1154</t>
  </si>
  <si>
    <t>C1242</t>
  </si>
  <si>
    <t>C1152</t>
  </si>
  <si>
    <t>C1216</t>
  </si>
  <si>
    <t>C1134</t>
  </si>
  <si>
    <t>C1124</t>
  </si>
  <si>
    <t>C1174</t>
  </si>
  <si>
    <t>C1229</t>
  </si>
  <si>
    <t>C1234</t>
  </si>
  <si>
    <t>C1190</t>
  </si>
  <si>
    <t>C1116</t>
  </si>
  <si>
    <t>C1227</t>
  </si>
  <si>
    <t>C1207</t>
  </si>
  <si>
    <t>C1187</t>
  </si>
  <si>
    <t>C1249</t>
  </si>
  <si>
    <t>C1213</t>
  </si>
  <si>
    <t>C1148</t>
  </si>
  <si>
    <t>C1180</t>
  </si>
  <si>
    <t>C1183</t>
  </si>
  <si>
    <t>C1204</t>
  </si>
  <si>
    <t>C1217</t>
  </si>
  <si>
    <t>C1185</t>
  </si>
  <si>
    <t>C1170</t>
  </si>
  <si>
    <t>C1222</t>
  </si>
  <si>
    <t>C1161</t>
  </si>
  <si>
    <t>C1131</t>
  </si>
  <si>
    <t>C1129</t>
  </si>
  <si>
    <t>C1243</t>
  </si>
  <si>
    <t>C1286</t>
  </si>
  <si>
    <t>C1117</t>
  </si>
  <si>
    <t>C1177</t>
  </si>
  <si>
    <t>C1212</t>
  </si>
  <si>
    <t>C1231</t>
  </si>
  <si>
    <t>C1228</t>
  </si>
  <si>
    <t>C1107</t>
  </si>
  <si>
    <t>C1202</t>
  </si>
  <si>
    <t>C1230</t>
  </si>
  <si>
    <t>C1109</t>
  </si>
  <si>
    <t>C1223</t>
  </si>
  <si>
    <t>C1186</t>
  </si>
  <si>
    <t>C1192</t>
  </si>
  <si>
    <t>C1164</t>
  </si>
  <si>
    <t>C1166</t>
  </si>
  <si>
    <t>C1153</t>
  </si>
  <si>
    <t>C1196</t>
  </si>
  <si>
    <t>C1195</t>
  </si>
  <si>
    <t>C1241</t>
  </si>
  <si>
    <t>C1106</t>
  </si>
  <si>
    <t>C1184</t>
  </si>
  <si>
    <t>C1246</t>
  </si>
  <si>
    <t>C1211</t>
  </si>
  <si>
    <t>C1224</t>
  </si>
  <si>
    <t>C1181</t>
  </si>
  <si>
    <t>C1101</t>
  </si>
  <si>
    <t>C1218</t>
  </si>
  <si>
    <t>C1119</t>
  </si>
  <si>
    <t>C1104</t>
  </si>
  <si>
    <t>C1198</t>
  </si>
  <si>
    <t>C1123</t>
  </si>
  <si>
    <t>C1158</t>
  </si>
  <si>
    <t>C1113</t>
  </si>
  <si>
    <t>C1108</t>
  </si>
  <si>
    <t>C1121</t>
  </si>
  <si>
    <t>C1103</t>
  </si>
  <si>
    <t>C1208</t>
  </si>
  <si>
    <t>C1197</t>
  </si>
  <si>
    <t>C1169</t>
  </si>
  <si>
    <t>C1245</t>
  </si>
  <si>
    <t>C1141</t>
  </si>
  <si>
    <t>C1133</t>
  </si>
  <si>
    <t>C1175</t>
  </si>
  <si>
    <t>C1111</t>
  </si>
  <si>
    <t>C1237</t>
  </si>
  <si>
    <t>C1244</t>
  </si>
  <si>
    <t>C1163</t>
  </si>
  <si>
    <t>C1138</t>
  </si>
  <si>
    <t>C1155</t>
  </si>
  <si>
    <t>C1132</t>
  </si>
  <si>
    <t>C1172</t>
  </si>
  <si>
    <t>C1160</t>
  </si>
  <si>
    <t>C1201</t>
  </si>
  <si>
    <t>C1118</t>
  </si>
  <si>
    <t>C1143</t>
  </si>
  <si>
    <t>C1179</t>
  </si>
  <si>
    <t>C1182</t>
  </si>
  <si>
    <t>C1188</t>
  </si>
  <si>
    <t>C1115</t>
  </si>
  <si>
    <t>C1178</t>
  </si>
  <si>
    <t>C1215</t>
  </si>
  <si>
    <t>C1144</t>
  </si>
  <si>
    <t>C1114</t>
  </si>
  <si>
    <t>C1225</t>
  </si>
  <si>
    <t>C1112</t>
  </si>
  <si>
    <t>C1220</t>
  </si>
  <si>
    <t>C1102</t>
  </si>
  <si>
    <t>C1084</t>
  </si>
  <si>
    <t>C1176</t>
  </si>
  <si>
    <t>C1151</t>
  </si>
  <si>
    <t>C1105</t>
  </si>
  <si>
    <t>C1238</t>
  </si>
  <si>
    <t>C1127</t>
  </si>
  <si>
    <t>C1147</t>
  </si>
  <si>
    <t>C1157</t>
  </si>
  <si>
    <t>C1149</t>
  </si>
  <si>
    <t>C1120</t>
  </si>
  <si>
    <t>C1194</t>
  </si>
  <si>
    <t>C1235</t>
  </si>
  <si>
    <t>C1193</t>
  </si>
  <si>
    <t>C1165</t>
  </si>
  <si>
    <t>C1014</t>
  </si>
  <si>
    <t>Ananya Verma</t>
  </si>
  <si>
    <t>Karan Malhotra</t>
  </si>
  <si>
    <t>Aditya Nair</t>
  </si>
  <si>
    <t>Vikram Reddy</t>
  </si>
  <si>
    <t>Pooja Joshi</t>
  </si>
  <si>
    <t>Sneha Iyer</t>
  </si>
  <si>
    <t>Rohan Desai</t>
  </si>
  <si>
    <t>Varun Singh</t>
  </si>
  <si>
    <t>Rahul Sharma</t>
  </si>
  <si>
    <t>Priya Patel</t>
  </si>
  <si>
    <t>Meera Kapoor</t>
  </si>
  <si>
    <t>Amit Kumar</t>
  </si>
  <si>
    <t>Neha Gupta</t>
  </si>
  <si>
    <t>Siddharth Rao</t>
  </si>
  <si>
    <t>Riya Sen</t>
  </si>
  <si>
    <t>Varun Gupta</t>
  </si>
  <si>
    <t>Rohan Khan</t>
  </si>
  <si>
    <t>Delhi</t>
  </si>
  <si>
    <t>Hyderabad</t>
  </si>
  <si>
    <t>Chennai</t>
  </si>
  <si>
    <t>Pune</t>
  </si>
  <si>
    <t>Mumbai</t>
  </si>
  <si>
    <t>Ahmedabad</t>
  </si>
  <si>
    <t>Kolkata</t>
  </si>
  <si>
    <t>Bengaluru</t>
  </si>
  <si>
    <t>Laptops</t>
  </si>
  <si>
    <t>Mice</t>
  </si>
  <si>
    <t>Tablets</t>
  </si>
  <si>
    <t>Headphones</t>
  </si>
  <si>
    <t>Apple MacBook Air</t>
  </si>
  <si>
    <t>HP Pavilion 14</t>
  </si>
  <si>
    <t>HP Wireless Mouse 200</t>
  </si>
  <si>
    <t>Dell Inspiron 15</t>
  </si>
  <si>
    <t>Samsung Galaxy Tab S9</t>
  </si>
  <si>
    <t>Lenovo IdeaPad 3</t>
  </si>
  <si>
    <t>Razer DeathAdder Essential</t>
  </si>
  <si>
    <t>Xiaomi Pad 7</t>
  </si>
  <si>
    <t>Logitech G102</t>
  </si>
  <si>
    <t>iPad 10th Gen</t>
  </si>
  <si>
    <t>boAt Rockerz 550</t>
  </si>
  <si>
    <t>Dell Optical Mouse</t>
  </si>
  <si>
    <t>Sony WH-CH520</t>
  </si>
  <si>
    <t>ASUS Vivobook 15</t>
  </si>
  <si>
    <t>Realme Buds Wireless 3</t>
  </si>
  <si>
    <t>JBL Tune 510BT</t>
  </si>
  <si>
    <t>Lenovo Tab P12</t>
  </si>
  <si>
    <t>Duplicate_Check</t>
  </si>
  <si>
    <t>Unknown</t>
  </si>
  <si>
    <t>Grand Total</t>
  </si>
  <si>
    <t>Sum of Sales</t>
  </si>
  <si>
    <t>Sum of Profit</t>
  </si>
  <si>
    <t>Profit margin %</t>
  </si>
  <si>
    <t>Dates</t>
  </si>
  <si>
    <t>Jan</t>
  </si>
  <si>
    <t>Feb</t>
  </si>
  <si>
    <t>Mar</t>
  </si>
  <si>
    <t>Apr</t>
  </si>
  <si>
    <t>May</t>
  </si>
  <si>
    <t>Jun</t>
  </si>
  <si>
    <t>Jul</t>
  </si>
  <si>
    <t>Aug</t>
  </si>
  <si>
    <t>Sep</t>
  </si>
  <si>
    <t>Oct</t>
  </si>
  <si>
    <t>Nov</t>
  </si>
  <si>
    <t>Dec</t>
  </si>
  <si>
    <t>Profit Margin</t>
  </si>
  <si>
    <t xml:space="preserve">Total Revenue </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</si>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</sst>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09]\ #,##0.00"/>
    <numFmt numFmtId="170" formatCode="[$₹-4009]\ #,##0"/>
  </numFmts>
  <fonts count="4">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1" fillId="0" borderId="2" xfId="0" applyFont="1" applyFill="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applyAlignment="1">
      <alignment horizontal="left"/>
    </xf>
    <xf numFmtId="165" fontId="0" fillId="0" borderId="0" xfId="0" applyNumberFormat="1"/>
    <xf numFmtId="165" fontId="0" fillId="0" borderId="0" xfId="0" applyNumberFormat="1" applyAlignment="1">
      <alignment horizontal="center"/>
    </xf>
    <xf numFmtId="170" fontId="0" fillId="0" borderId="0" xfId="0" applyNumberFormat="1"/>
    <xf numFmtId="10" fontId="1" fillId="0" borderId="1" xfId="0" applyNumberFormat="1" applyFont="1" applyBorder="1" applyAlignment="1">
      <alignment horizontal="center" vertical="top"/>
    </xf>
    <xf numFmtId="10" fontId="0" fillId="0" borderId="0" xfId="0" applyNumberFormat="1" applyAlignment="1">
      <alignment horizontal="left"/>
    </xf>
    <xf numFmtId="10" fontId="0" fillId="0" borderId="0" xfId="0" applyNumberFormat="1"/>
    <xf numFmtId="0" fontId="0" fillId="0" borderId="0" xfId="0" pivotButton="1"/>
    <xf numFmtId="10" fontId="0" fillId="0" borderId="0" xfId="1" applyNumberFormat="1" applyFont="1"/>
    <xf numFmtId="14" fontId="0" fillId="0" borderId="0" xfId="0" applyNumberFormat="1" applyAlignment="1">
      <alignment horizontal="left"/>
    </xf>
    <xf numFmtId="1" fontId="3" fillId="0" borderId="0" xfId="0"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[ecommerce_sales_cleaned.xlsx]Monthly_Analysis!PivotTable2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Monthly_Analysis!$B$3</c:f>
              <c:strCache>
                <c:ptCount val="1"/>
                <c:pt idx="0">
                  <c:v>Sum of Sales</c:v>
                </c:pt>
              </c:strCache>
            </c:strRef>
          </c:tx>
          <c:spPr>
            <a:solidFill>
              <a:schemeClr val="accent1"/>
            </a:solidFill>
            <a:ln>
              <a:noFill/>
            </a:ln>
            <a:effectLst/>
          </c:spPr>
          <c:invertIfNegative val="0"/>
          <c:cat>
            <c:strRef>
              <c:f>Monthly_Analysis!$A$4:$A$16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Monthly_Analysis!$B$4:$B$16</c:f>
              <c:numCache>
                <c:formatCode>[$₹-4009]\ #,##0.00</c:formatCode>
                <c:ptCount val="12"/>
                <c:pt idx="0">
                  <c:v>3082100</c:v>
                </c:pt>
                <c:pt idx="1">
                  <c:v>3409800</c:v>
                </c:pt>
                <c:pt idx="2">
                  <c:v>2134300</c:v>
                </c:pt>
                <c:pt idx="3">
                  <c:v>5949500</c:v>
                </c:pt>
                <c:pt idx="4">
                  <c:v>3729800</c:v>
                </c:pt>
                <c:pt idx="5">
                  <c:v>5013400</c:v>
                </c:pt>
                <c:pt idx="6">
                  <c:v>3233640</c:v>
                </c:pt>
                <c:pt idx="7">
                  <c:v>4911900</c:v>
                </c:pt>
                <c:pt idx="8">
                  <c:v>4110140</c:v>
                </c:pt>
                <c:pt idx="9">
                  <c:v>4141600</c:v>
                </c:pt>
                <c:pt idx="10">
                  <c:v>4680000</c:v>
                </c:pt>
                <c:pt idx="11">
                  <c:v>3685500</c:v>
                </c:pt>
              </c:numCache>
            </c:numRef>
          </c:val>
          <c:extLst>
            <c:ext xmlns:c16="http://schemas.microsoft.com/office/drawing/2014/chart" uri="{C3380CC4-5D6E-409C-BE32-E72D297353CC}">
              <c16:uniqueId val="{00000000-34A5-4A71-920F-899286B79C47}"/>
            </c:ext>
          </c:extLst>
        </c:ser>
        <c:dLbls>
          <c:showLegendKey val="0"/>
          <c:showVal val="0"/>
          <c:showCatName val="0"/>
          <c:showSerName val="0"/>
          <c:showPercent val="0"/>
          <c:showBubbleSize val="0"/>
        </c:dLbls>
        <c:gapWidth val="219"/>
        <c:overlap val="-27"/>
        <c:axId val="126457551"/>
        <c:axId val="126458031"/>
      </c:barChart>
      <c:lineChart>
        <c:grouping val="standard"/>
        <c:varyColors val="0"/>
        <c:ser>
          <c:idx val="1"/>
          <c:order val="1"/>
          <c:tx>
            <c:strRef>
              <c:f>Monthly_Analysis!$C$3</c:f>
              <c:strCache>
                <c:ptCount val="1"/>
                <c:pt idx="0">
                  <c:v>Sum of Profit</c:v>
                </c:pt>
              </c:strCache>
            </c:strRef>
          </c:tx>
          <c:spPr>
            <a:ln w="28575" cap="rnd">
              <a:solidFill>
                <a:schemeClr val="accent2"/>
              </a:solidFill>
              <a:round/>
            </a:ln>
            <a:effectLst/>
          </c:spPr>
          <c:marker>
            <c:symbol val="none"/>
          </c:marker>
          <c:cat>
            <c:strRef>
              <c:f>Monthly_Analysis!$A$4:$A$16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Monthly_Analysis!$C$4:$C$16</c:f>
              <c:numCache>
                <c:formatCode>[$₹-4009]\ #,##0.00</c:formatCode>
                <c:ptCount val="12"/>
                <c:pt idx="0">
                  <c:v>524551.62000000011</c:v>
                </c:pt>
                <c:pt idx="1">
                  <c:v>545687.32999999996</c:v>
                </c:pt>
                <c:pt idx="2">
                  <c:v>355753.60999999987</c:v>
                </c:pt>
                <c:pt idx="3">
                  <c:v>961109.65</c:v>
                </c:pt>
                <c:pt idx="4">
                  <c:v>597102.46000000008</c:v>
                </c:pt>
                <c:pt idx="5">
                  <c:v>787745.19000000029</c:v>
                </c:pt>
                <c:pt idx="6">
                  <c:v>492446.76999999996</c:v>
                </c:pt>
                <c:pt idx="7">
                  <c:v>780428.62000000011</c:v>
                </c:pt>
                <c:pt idx="8">
                  <c:v>674703.37</c:v>
                </c:pt>
                <c:pt idx="9">
                  <c:v>754579.95000000019</c:v>
                </c:pt>
                <c:pt idx="10">
                  <c:v>727912.50000000023</c:v>
                </c:pt>
                <c:pt idx="11">
                  <c:v>572496.96000000008</c:v>
                </c:pt>
              </c:numCache>
            </c:numRef>
          </c:val>
          <c:smooth val="0"/>
          <c:extLst>
            <c:ext xmlns:c16="http://schemas.microsoft.com/office/drawing/2014/chart" uri="{C3380CC4-5D6E-409C-BE32-E72D297353CC}">
              <c16:uniqueId val="{00000001-34A5-4A71-920F-899286B79C47}"/>
            </c:ext>
          </c:extLst>
        </c:ser>
        <c:dLbls>
          <c:showLegendKey val="0"/>
          <c:showVal val="0"/>
          <c:showCatName val="0"/>
          <c:showSerName val="0"/>
          <c:showPercent val="0"/>
          <c:showBubbleSize val="0"/>
        </c:dLbls>
        <c:marker val="1"/>
        <c:smooth val="0"/>
        <c:axId val="126457551"/>
        <c:axId val="126458031"/>
      </c:lineChart>
      <c:catAx>
        <c:axId val="12645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8031"/>
        <c:crosses val="autoZero"/>
        <c:auto val="1"/>
        <c:lblAlgn val="ctr"/>
        <c:lblOffset val="100"/>
        <c:noMultiLvlLbl val="0"/>
      </c:catAx>
      <c:valAx>
        <c:axId val="126458031"/>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[ecommerce_sales_cleaned.xlsx]Pivot_Analysis!PivotTable1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18904505686789153"/>
          <c:y val="0.14249781277340332"/>
          <c:w val="0.42900262467191602"/>
          <c:h val="0.71500437445319331"/>
        </c:manualLayout>
      </c:layout>
      <c:doughnutChart>
        <c:varyColors val="1"/>
        <c:ser>
          <c:idx val="0"/>
          <c:order val="0"/>
          <c:tx>
            <c:strRef>
              <c:f>Pivot_Analysis!$B$3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31-4DED-8C5A-52EE3D385E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31-4DED-8C5A-52EE3D385E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31-4DED-8C5A-52EE3D385E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31-4DED-8C5A-52EE3D385E5D}"/>
              </c:ext>
            </c:extLst>
          </c:dPt>
          <c:cat>
            <c:strRef>
              <c:f>Pivot_Analysis!$A$4:$A$8</c:f>
              <c:strCache>
                <c:ptCount val="4"/>
                <c:pt idx="0">
                  <c:v>Headphones</c:v>
                </c:pt>
                <c:pt idx="1">
                  <c:v>Laptops</c:v>
                </c:pt>
                <c:pt idx="2">
                  <c:v>Mice</c:v>
                </c:pt>
                <c:pt idx="3">
                  <c:v>Tablets</c:v>
                </c:pt>
              </c:strCache>
            </c:strRef>
          </c:cat>
          <c:val>
            <c:numRef>
              <c:f>Pivot_Analysis!$B$4:$B$8</c:f>
              <c:numCache>
                <c:formatCode>[$₹-4009]\ #,##0</c:formatCode>
                <c:ptCount val="4"/>
                <c:pt idx="0">
                  <c:v>1281240</c:v>
                </c:pt>
                <c:pt idx="1">
                  <c:v>29753000</c:v>
                </c:pt>
                <c:pt idx="2">
                  <c:v>527440</c:v>
                </c:pt>
                <c:pt idx="3">
                  <c:v>16520000</c:v>
                </c:pt>
              </c:numCache>
            </c:numRef>
          </c:val>
          <c:extLst>
            <c:ext xmlns:c16="http://schemas.microsoft.com/office/drawing/2014/chart" uri="{C3380CC4-5D6E-409C-BE32-E72D297353CC}">
              <c16:uniqueId val="{00000008-0231-4DED-8C5A-52EE3D385E5D}"/>
            </c:ext>
          </c:extLst>
        </c:ser>
        <c:ser>
          <c:idx val="1"/>
          <c:order val="1"/>
          <c:tx>
            <c:strRef>
              <c:f>Pivot_Analysis!$C$3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231-4DED-8C5A-52EE3D385E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231-4DED-8C5A-52EE3D385E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231-4DED-8C5A-52EE3D385E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231-4DED-8C5A-52EE3D385E5D}"/>
              </c:ext>
            </c:extLst>
          </c:dPt>
          <c:cat>
            <c:strRef>
              <c:f>Pivot_Analysis!$A$4:$A$8</c:f>
              <c:strCache>
                <c:ptCount val="4"/>
                <c:pt idx="0">
                  <c:v>Headphones</c:v>
                </c:pt>
                <c:pt idx="1">
                  <c:v>Laptops</c:v>
                </c:pt>
                <c:pt idx="2">
                  <c:v>Mice</c:v>
                </c:pt>
                <c:pt idx="3">
                  <c:v>Tablets</c:v>
                </c:pt>
              </c:strCache>
            </c:strRef>
          </c:cat>
          <c:val>
            <c:numRef>
              <c:f>Pivot_Analysis!$C$4:$C$8</c:f>
              <c:numCache>
                <c:formatCode>[$₹-4009]\ #,##0.00</c:formatCode>
                <c:ptCount val="4"/>
                <c:pt idx="0">
                  <c:v>199160.30000000005</c:v>
                </c:pt>
                <c:pt idx="1">
                  <c:v>4878201.7299999967</c:v>
                </c:pt>
                <c:pt idx="2">
                  <c:v>82663.520000000004</c:v>
                </c:pt>
                <c:pt idx="3">
                  <c:v>2614492.4800000009</c:v>
                </c:pt>
              </c:numCache>
            </c:numRef>
          </c:val>
          <c:extLst>
            <c:ext xmlns:c16="http://schemas.microsoft.com/office/drawing/2014/chart" uri="{C3380CC4-5D6E-409C-BE32-E72D297353CC}">
              <c16:uniqueId val="{00000011-0231-4DED-8C5A-52EE3D385E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594360</xdr:colOff>
      <xdr:row>3</xdr:row>
      <xdr:rowOff>160020</xdr:rowOff>
    </xdr:from>
    <xdr:to>
      <xdr:col>6</xdr:col>
      <xdr:colOff>76200</xdr:colOff>
      <xdr:row>18</xdr:row>
      <xdr:rowOff>160020</xdr:rowOff>
    </xdr:to>
    <xdr:graphicFrame macro="">
      <xdr:nvGraphicFramePr>
        <xdr:cNvPr id="2" name="Chart 1">
          <a:extLst>
            <a:ext uri="{FF2B5EF4-FFF2-40B4-BE49-F238E27FC236}">
              <a16:creationId xmlns:a16="http://schemas.microsoft.com/office/drawing/2014/main" id="{D8481D56-9E02-4F9D-9D82-9B3B1654B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358140</xdr:colOff>
      <xdr:row>3</xdr:row>
      <xdr:rowOff>167640</xdr:rowOff>
    </xdr:from>
    <xdr:to>
      <xdr:col>13</xdr:col>
      <xdr:colOff>350520</xdr:colOff>
      <xdr:row>18</xdr:row>
      <xdr:rowOff>167640</xdr:rowOff>
    </xdr:to>
    <xdr:graphicFrame macro="">
      <xdr:nvGraphicFramePr>
        <xdr:cNvPr id="3" name="Chart 2">
          <a:extLst>
            <a:ext uri="{FF2B5EF4-FFF2-40B4-BE49-F238E27FC236}">
              <a16:creationId xmlns:a16="http://schemas.microsoft.com/office/drawing/2014/main" id="{6BB50ACC-A2B8-4C9C-9220-3B0BFD823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601980</xdr:colOff>
      <xdr:row>19</xdr:row>
      <xdr:rowOff>15240</xdr:rowOff>
    </xdr:from>
    <xdr:to>
      <xdr:col>3</xdr:col>
      <xdr:colOff>15240</xdr:colOff>
      <xdr:row>32</xdr:row>
      <xdr:rowOff>104775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302B6EE0-E53C-7CA4-A5F6-CDD22C2E4C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01980" y="3489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929640</xdr:colOff>
      <xdr:row>19</xdr:row>
      <xdr:rowOff>15240</xdr:rowOff>
    </xdr:from>
    <xdr:to>
      <xdr:col>6</xdr:col>
      <xdr:colOff>83820</xdr:colOff>
      <xdr:row>32</xdr:row>
      <xdr:rowOff>104775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3F33D83-5ADB-0C6F-0B7A-234A652154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45180" y="3489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ed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ned_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shine🌻" refreshedDate="46299.913804861113" createdVersion="8" refreshedVersion="8" minRefreshableVersion="3" recordCount="1005" xr:uid="{749458A4-852D-4271-8E7E-AF068E60ABA2}">
  <cacheSource type="worksheet">
    <worksheetSource ref="A1:L1006" sheet="Sheet1"/>
  </cacheSource>
  <cacheFields count="13">
    <cacheField name="Order_ID" numFmtId="0">
      <sharedItems containsString="0" containsBlank="1" containsNumber="1" containsInteger="1" minValue="100000" maxValue="100999"/>
    </cacheField>
    <cacheField name="Order_Date" numFmtId="0">
      <sharedItems containsNonDate="0" containsDate="1" containsString="0" containsBlank="1" minDate="2025-01-01T00:00:00" maxDate="2025-12-31T00:00:00" count="332">
        <d v="2025-08-19T00:00:00"/>
        <d v="2025-10-02T00:00:00"/>
        <d v="2025-01-28T00:00:00"/>
        <d v="2025-05-15T00:00:00"/>
        <d v="2025-07-20T00:00:00"/>
        <d v="2025-11-24T00:00:00"/>
        <d v="2025-09-25T00:00:00"/>
        <d v="2025-02-02T00:00:00"/>
        <d v="2025-02-17T00:00:00"/>
        <d v="2025-03-03T00:00:00"/>
        <d v="2025-04-08T00:00:00"/>
        <d v="2025-10-20T00:00:00"/>
        <d v="2025-09-04T00:00:00"/>
        <d v="2025-06-21T00:00:00"/>
        <d v="2025-12-26T00:00:00"/>
        <d v="2025-02-08T00:00:00"/>
        <d v="2025-04-02T00:00:00"/>
        <d v="2025-08-15T00:00:00"/>
        <d v="2025-11-04T00:00:00"/>
        <d v="2025-11-05T00:00:00"/>
        <d v="2025-09-14T00:00:00"/>
        <d v="2025-05-01T00:00:00"/>
        <d v="2025-06-08T00:00:00"/>
        <d v="2025-12-09T00:00:00"/>
        <d v="2025-12-25T00:00:00"/>
        <d v="2025-10-10T00:00:00"/>
        <d v="2025-07-26T00:00:00"/>
        <d v="2025-01-15T00:00:00"/>
        <d v="2025-12-12T00:00:00"/>
        <d v="2025-11-02T00:00:00"/>
        <d v="2025-06-28T00:00:00"/>
        <d v="2025-04-03T00:00:00"/>
        <d v="2025-12-18T00:00:00"/>
        <d v="2025-08-29T00:00:00"/>
        <d v="2025-02-21T00:00:00"/>
        <d v="2025-06-04T00:00:00"/>
        <d v="2025-10-08T00:00:00"/>
        <d v="2025-08-25T00:00:00"/>
        <d v="2025-05-23T00:00:00"/>
        <d v="2025-06-20T00:00:00"/>
        <d v="2025-01-29T00:00:00"/>
        <d v="2025-05-02T00:00:00"/>
        <d v="2025-01-13T00:00:00"/>
        <d v="2025-09-06T00:00:00"/>
        <d v="2025-11-23T00:00:00"/>
        <d v="2025-06-07T00:00:00"/>
        <d v="2025-08-31T00:00:00"/>
        <d v="2025-03-27T00:00:00"/>
        <d v="2025-11-10T00:00:00"/>
        <d v="2025-07-03T00:00:00"/>
        <d v="2025-06-19T00:00:00"/>
        <d v="2025-02-14T00:00:00"/>
        <d v="2025-05-14T00:00:00"/>
        <d v="2025-04-18T00:00:00"/>
        <d v="2025-02-13T00:00:00"/>
        <d v="2025-06-12T00:00:00"/>
        <d v="2025-10-13T00:00:00"/>
        <d v="2025-11-27T00:00:00"/>
        <d v="2025-08-05T00:00:00"/>
        <d v="2025-12-14T00:00:00"/>
        <d v="2025-09-07T00:00:00"/>
        <d v="2025-08-13T00:00:00"/>
        <d v="2025-01-05T00:00:00"/>
        <d v="2025-04-26T00:00:00"/>
        <d v="2025-08-21T00:00:00"/>
        <d v="2025-09-16T00:00:00"/>
        <d v="2025-07-17T00:00:00"/>
        <d v="2025-05-17T00:00:00"/>
        <d v="2025-11-14T00:00:00"/>
        <d v="2025-06-14T00:00:00"/>
        <d v="2025-03-11T00:00:00"/>
        <d v="2025-08-22T00:00:00"/>
        <d v="2025-01-06T00:00:00"/>
        <d v="2025-11-11T00:00:00"/>
        <d v="2025-06-29T00:00:00"/>
        <d v="2025-04-23T00:00:00"/>
        <d v="2025-10-22T00:00:00"/>
        <d v="2025-10-05T00:00:00"/>
        <d v="2025-03-22T00:00:00"/>
        <d v="2025-02-01T00:00:00"/>
        <d v="2025-08-08T00:00:00"/>
        <d v="2025-02-23T00:00:00"/>
        <d v="2025-09-12T00:00:00"/>
        <d v="2025-12-08T00:00:00"/>
        <d v="2025-06-05T00:00:00"/>
        <d v="2025-02-22T00:00:00"/>
        <d v="2025-04-09T00:00:00"/>
        <d v="2025-11-20T00:00:00"/>
        <d v="2025-07-22T00:00:00"/>
        <d v="2025-03-07T00:00:00"/>
        <d v="2025-03-05T00:00:00"/>
        <d v="2025-10-21T00:00:00"/>
        <d v="2025-07-10T00:00:00"/>
        <d v="2025-11-21T00:00:00"/>
        <d v="2025-08-04T00:00:00"/>
        <d v="2025-08-28T00:00:00"/>
        <d v="2025-05-24T00:00:00"/>
        <d v="2025-07-04T00:00:00"/>
        <d v="2025-04-05T00:00:00"/>
        <d v="2025-11-22T00:00:00"/>
        <d v="2025-12-15T00:00:00"/>
        <d v="2025-05-28T00:00:00"/>
        <d v="2025-09-09T00:00:00"/>
        <d v="2025-05-27T00:00:00"/>
        <d v="2025-07-18T00:00:00"/>
        <d v="2025-10-01T00:00:00"/>
        <d v="2025-08-02T00:00:00"/>
        <d v="2025-04-12T00:00:00"/>
        <d v="2025-09-05T00:00:00"/>
        <d v="2025-09-24T00:00:00"/>
        <d v="2025-05-31T00:00:00"/>
        <d v="2025-10-25T00:00:00"/>
        <d v="2025-09-20T00:00:00"/>
        <d v="2025-04-22T00:00:00"/>
        <d v="2025-01-03T00:00:00"/>
        <d v="2025-10-31T00:00:00"/>
        <d v="2025-11-09T00:00:00"/>
        <d v="2025-05-20T00:00:00"/>
        <d v="2025-06-02T00:00:00"/>
        <d v="2025-09-01T00:00:00"/>
        <d v="2025-07-27T00:00:00"/>
        <d v="2025-04-30T00:00:00"/>
        <d v="2025-10-06T00:00:00"/>
        <d v="2025-03-16T00:00:00"/>
        <d v="2025-04-14T00:00:00"/>
        <d v="2025-02-06T00:00:00"/>
        <d v="2025-07-13T00:00:00"/>
        <d v="2025-06-11T00:00:00"/>
        <d v="2025-12-06T00:00:00"/>
        <d v="2025-06-18T00:00:00"/>
        <d v="2025-09-03T00:00:00"/>
        <d v="2025-10-16T00:00:00"/>
        <d v="2025-04-10T00:00:00"/>
        <d v="2025-07-14T00:00:00"/>
        <d v="2025-06-25T00:00:00"/>
        <d v="2025-01-22T00:00:00"/>
        <d v="2025-08-26T00:00:00"/>
        <d v="2025-07-06T00:00:00"/>
        <d v="2025-07-02T00:00:00"/>
        <d v="2025-08-18T00:00:00"/>
        <d v="2025-02-20T00:00:00"/>
        <d v="2025-09-21T00:00:00"/>
        <d v="2025-01-27T00:00:00"/>
        <d v="2025-08-14T00:00:00"/>
        <d v="2025-11-13T00:00:00"/>
        <d v="2025-04-01T00:00:00"/>
        <d v="2025-11-07T00:00:00"/>
        <d v="2025-02-18T00:00:00"/>
        <d v="2025-01-17T00:00:00"/>
        <d v="2025-02-15T00:00:00"/>
        <d v="2025-06-01T00:00:00"/>
        <d v="2025-10-29T00:00:00"/>
        <d v="2025-06-30T00:00:00"/>
        <d v="2025-05-04T00:00:00"/>
        <d v="2025-07-07T00:00:00"/>
        <d v="2025-10-07T00:00:00"/>
        <d v="2025-10-09T00:00:00"/>
        <d v="2025-09-13T00:00:00"/>
        <d v="2025-11-19T00:00:00"/>
        <d v="2025-01-18T00:00:00"/>
        <d v="2025-08-10T00:00:00"/>
        <d v="2025-11-08T00:00:00"/>
        <d v="2025-02-27T00:00:00"/>
        <d v="2025-06-23T00:00:00"/>
        <d v="2025-04-24T00:00:00"/>
        <d v="2025-10-15T00:00:00"/>
        <d v="2025-08-12T00:00:00"/>
        <d v="2025-07-11T00:00:00"/>
        <d v="2025-07-05T00:00:00"/>
        <d v="2025-04-06T00:00:00"/>
        <d v="2025-09-30T00:00:00"/>
        <d v="2025-10-26T00:00:00"/>
        <d v="2025-03-09T00:00:00"/>
        <d v="2025-01-26T00:00:00"/>
        <d v="2025-12-21T00:00:00"/>
        <d v="2025-02-11T00:00:00"/>
        <d v="2025-12-11T00:00:00"/>
        <d v="2025-09-11T00:00:00"/>
        <d v="2025-06-22T00:00:00"/>
        <d v="2025-01-20T00:00:00"/>
        <d v="2025-11-17T00:00:00"/>
        <d v="2025-05-22T00:00:00"/>
        <d v="2025-02-04T00:00:00"/>
        <d v="2025-12-20T00:00:00"/>
        <d v="2025-11-18T00:00:00"/>
        <d v="2025-03-08T00:00:00"/>
        <d v="2025-05-07T00:00:00"/>
        <d v="2025-05-05T00:00:00"/>
        <d v="2025-05-30T00:00:00"/>
        <d v="2025-10-11T00:00:00"/>
        <d v="2025-01-11T00:00:00"/>
        <d v="2025-09-28T00:00:00"/>
        <d v="2025-04-13T00:00:00"/>
        <d v="2025-07-15T00:00:00"/>
        <d v="2025-09-19T00:00:00"/>
        <d v="2025-12-16T00:00:00"/>
        <d v="2025-02-16T00:00:00"/>
        <d v="2025-04-11T00:00:00"/>
        <d v="2025-09-26T00:00:00"/>
        <d v="2025-04-16T00:00:00"/>
        <d v="2025-05-25T00:00:00"/>
        <d v="2025-11-15T00:00:00"/>
        <d v="2025-02-10T00:00:00"/>
        <d v="2025-08-17T00:00:00"/>
        <d v="2025-04-27T00:00:00"/>
        <d v="2025-06-10T00:00:00"/>
        <d v="2025-02-05T00:00:00"/>
        <d v="2025-01-01T00:00:00"/>
        <d v="2025-08-27T00:00:00"/>
        <d v="2025-04-28T00:00:00"/>
        <d v="2025-03-30T00:00:00"/>
        <d v="2025-09-29T00:00:00"/>
        <d v="2025-08-07T00:00:00"/>
        <d v="2025-10-03T00:00:00"/>
        <d v="2025-05-10T00:00:00"/>
        <d v="2025-03-17T00:00:00"/>
        <d v="2025-03-06T00:00:00"/>
        <d v="2025-04-07T00:00:00"/>
        <d v="2025-12-10T00:00:00"/>
        <d v="2025-04-04T00:00:00"/>
        <d v="2025-07-23T00:00:00"/>
        <d v="2025-07-12T00:00:00"/>
        <d v="2025-10-04T00:00:00"/>
        <d v="2025-12-23T00:00:00"/>
        <d v="2025-01-23T00:00:00"/>
        <d v="2025-07-09T00:00:00"/>
        <d v="2025-10-17T00:00:00"/>
        <d v="2025-01-16T00:00:00"/>
        <d v="2025-02-12T00:00:00"/>
        <d v="2025-09-15T00:00:00"/>
        <d v="2025-06-27T00:00:00"/>
        <d v="2025-06-03T00:00:00"/>
        <d v="2025-06-17T00:00:00"/>
        <d v="2025-11-26T00:00:00"/>
        <d v="2025-12-02T00:00:00"/>
        <d v="2025-12-01T00:00:00"/>
        <d v="2025-08-30T00:00:00"/>
        <d v="2025-03-12T00:00:00"/>
        <d v="2025-03-31T00:00:00"/>
        <d v="2025-03-04T00:00:00"/>
        <d v="2025-04-25T00:00:00"/>
        <d v="2025-04-15T00:00:00"/>
        <d v="2025-05-08T00:00:00"/>
        <d v="2025-06-09T00:00:00"/>
        <d v="2025-06-13T00:00:00"/>
        <d v="2025-06-26T00:00:00"/>
        <d v="2025-02-07T00:00:00"/>
        <d v="2025-12-27T00:00:00"/>
        <d v="2025-03-25T00:00:00"/>
        <d v="2025-01-19T00:00:00"/>
        <d v="2025-09-22T00:00:00"/>
        <d v="2025-07-25T00:00:00"/>
        <d v="2025-05-12T00:00:00"/>
        <d v="2025-01-25T00:00:00"/>
        <d v="2025-02-26T00:00:00"/>
        <d v="2025-04-19T00:00:00"/>
        <d v="2025-05-13T00:00:00"/>
        <d v="2025-09-08T00:00:00"/>
        <d v="2025-08-23T00:00:00"/>
        <d v="2025-05-26T00:00:00"/>
        <d v="2025-03-15T00:00:00"/>
        <d v="2025-07-01T00:00:00"/>
        <d v="2025-05-21T00:00:00"/>
        <d v="2025-05-16T00:00:00"/>
        <d v="2025-10-28T00:00:00"/>
        <d v="2025-12-05T00:00:00"/>
        <d v="2025-10-19T00:00:00"/>
        <d v="2025-11-03T00:00:00"/>
        <d v="2025-12-30T00:00:00"/>
        <d v="2025-01-07T00:00:00"/>
        <d v="2025-06-16T00:00:00"/>
        <d v="2025-01-04T00:00:00"/>
        <d v="2025-07-21T00:00:00"/>
        <d v="2025-08-11T00:00:00"/>
        <d v="2025-10-30T00:00:00"/>
        <d v="2025-05-29T00:00:00"/>
        <d v="2025-03-21T00:00:00"/>
        <d v="2025-01-08T00:00:00"/>
        <d v="2025-01-14T00:00:00"/>
        <d v="2025-12-24T00:00:00"/>
        <d v="2025-05-06T00:00:00"/>
        <d v="2025-08-01T00:00:00"/>
        <d v="2025-08-16T00:00:00"/>
        <d v="2025-07-31T00:00:00"/>
        <d v="2025-03-23T00:00:00"/>
        <d v="2025-07-16T00:00:00"/>
        <d v="2025-08-09T00:00:00"/>
        <d v="2025-04-29T00:00:00"/>
        <d v="2025-09-10T00:00:00"/>
        <d v="2025-12-17T00:00:00"/>
        <d v="2025-03-24T00:00:00"/>
        <d v="2025-03-26T00:00:00"/>
        <d v="2025-03-19T00:00:00"/>
        <d v="2025-07-24T00:00:00"/>
        <d v="2025-09-17T00:00:00"/>
        <d v="2025-03-02T00:00:00"/>
        <d v="2025-03-13T00:00:00"/>
        <d v="2025-11-06T00:00:00"/>
        <d v="2025-08-24T00:00:00"/>
        <d v="2025-01-12T00:00:00"/>
        <d v="2025-12-13T00:00:00"/>
        <d v="2025-06-15T00:00:00"/>
        <d v="2025-01-30T00:00:00"/>
        <d v="2025-05-18T00:00:00"/>
        <d v="2025-04-21T00:00:00"/>
        <d v="2025-02-03T00:00:00"/>
        <d v="2025-03-14T00:00:00"/>
        <d v="2025-02-25T00:00:00"/>
        <d v="2025-04-17T00:00:00"/>
        <d v="2025-03-01T00:00:00"/>
        <d v="2025-12-29T00:00:00"/>
        <d v="2025-01-10T00:00:00"/>
        <d v="2025-10-27T00:00:00"/>
        <d v="2025-08-03T00:00:00"/>
        <d v="2025-11-16T00:00:00"/>
        <d v="2025-01-31T00:00:00"/>
        <d v="2025-09-02T00:00:00"/>
        <d v="2025-05-19T00:00:00"/>
        <d v="2025-12-22T00:00:00"/>
        <d v="2025-11-29T00:00:00"/>
        <d v="2025-09-18T00:00:00"/>
        <d v="2025-11-25T00:00:00"/>
        <d v="2025-11-30T00:00:00"/>
        <d v="2025-10-23T00:00:00"/>
        <d v="2025-09-27T00:00:00"/>
        <d v="2025-10-18T00:00:00"/>
        <d v="2025-12-19T00:00:00"/>
        <d v="2025-05-11T00:00:00"/>
        <d v="2025-06-06T00:00:00"/>
        <d v="2025-08-06T00:00:00"/>
        <d v="2025-11-28T00:00:00"/>
        <m/>
      </sharedItems>
      <fieldGroup par="12"/>
    </cacheField>
    <cacheField name="Customer_ID" numFmtId="0">
      <sharedItems containsBlank="1"/>
    </cacheField>
    <cacheField name="Customer_Name" numFmtId="0">
      <sharedItems containsBlank="1"/>
    </cacheField>
    <cacheField name="City" numFmtId="0">
      <sharedItems containsBlank="1" count="10">
        <s v="Delhi"/>
        <s v="Hyderabad"/>
        <s v="Chennai"/>
        <s v="Pune"/>
        <s v="Mumbai"/>
        <s v="Ahmedabad"/>
        <s v="Kolkata"/>
        <s v="Unknown"/>
        <s v="Bengaluru"/>
        <m/>
      </sharedItems>
    </cacheField>
    <cacheField name="Category" numFmtId="0">
      <sharedItems containsBlank="1" count="5">
        <s v="Laptops"/>
        <s v="Mice"/>
        <s v="Tablets"/>
        <s v="Headphones"/>
        <m/>
      </sharedItems>
    </cacheField>
    <cacheField name="Product" numFmtId="0">
      <sharedItems containsBlank="1"/>
    </cacheField>
    <cacheField name="Quantity" numFmtId="0">
      <sharedItems containsString="0" containsBlank="1" containsNumber="1" containsInteger="1" minValue="1" maxValue="4"/>
    </cacheField>
    <cacheField name="Sales" numFmtId="165">
      <sharedItems containsString="0" containsBlank="1" containsNumber="1" containsInteger="1" minValue="500" maxValue="340000"/>
    </cacheField>
    <cacheField name="Discount" numFmtId="10">
      <sharedItems containsString="0" containsBlank="1" containsNumber="1" minValue="0.04" maxValue="0.2"/>
    </cacheField>
    <cacheField name="Profit" numFmtId="165">
      <sharedItems containsString="0" containsBlank="1" containsNumber="1" minValue="38.590000000000003" maxValue="71519.95"/>
    </cacheField>
    <cacheField name="Duplicate_Check" numFmtId="0">
      <sharedItems/>
    </cacheField>
    <cacheField name="Months (Order_Date)" numFmtId="0" databaseField="0">
      <fieldGroup base="1">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pivotCacheId="365999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n v="100000"/>
    <x v="0"/>
    <s v="C1214"/>
    <s v="Ananya Verma"/>
    <x v="0"/>
    <x v="0"/>
    <s v="Apple MacBook Air"/>
    <n v="3"/>
    <n v="255000"/>
    <n v="0.05"/>
    <n v="50104.47"/>
    <b v="0"/>
  </r>
  <r>
    <n v="100001"/>
    <x v="1"/>
    <s v="C1135"/>
    <s v="Karan Malhotra"/>
    <x v="1"/>
    <x v="0"/>
    <s v="HP Pavilion 14"/>
    <n v="4"/>
    <n v="248000"/>
    <n v="0.2"/>
    <n v="46554.68"/>
    <b v="0"/>
  </r>
  <r>
    <n v="100002"/>
    <x v="2"/>
    <s v="C1125"/>
    <s v="Aditya Nair"/>
    <x v="2"/>
    <x v="1"/>
    <s v="HP Wireless Mouse 200"/>
    <n v="3"/>
    <n v="2400"/>
    <n v="0.2"/>
    <n v="233.55"/>
    <b v="0"/>
  </r>
  <r>
    <n v="100003"/>
    <x v="3"/>
    <s v="C1142"/>
    <s v="Karan Malhotra"/>
    <x v="2"/>
    <x v="0"/>
    <s v="Dell Inspiron 15"/>
    <n v="1"/>
    <n v="55000"/>
    <n v="0.2"/>
    <n v="9394.7000000000007"/>
    <b v="0"/>
  </r>
  <r>
    <n v="100004"/>
    <x v="4"/>
    <s v="C1126"/>
    <s v="Vikram Reddy"/>
    <x v="2"/>
    <x v="2"/>
    <s v="Samsung Galaxy Tab S9"/>
    <n v="2"/>
    <n v="116000"/>
    <n v="0.1"/>
    <n v="22455.87"/>
    <b v="0"/>
  </r>
  <r>
    <n v="100005"/>
    <x v="5"/>
    <s v="C1168"/>
    <s v="Pooja Joshi"/>
    <x v="3"/>
    <x v="0"/>
    <s v="Lenovo IdeaPad 3"/>
    <n v="1"/>
    <n v="45000"/>
    <n v="0.05"/>
    <n v="9681.9500000000007"/>
    <b v="0"/>
  </r>
  <r>
    <n v="100006"/>
    <x v="6"/>
    <s v="C1247"/>
    <s v="Sneha Iyer"/>
    <x v="3"/>
    <x v="2"/>
    <s v="Samsung Galaxy Tab S9"/>
    <n v="3"/>
    <n v="174000"/>
    <n v="0.2"/>
    <n v="22392.48"/>
    <b v="0"/>
  </r>
  <r>
    <n v="100007"/>
    <x v="7"/>
    <s v="C1110"/>
    <s v="Rohan Desai"/>
    <x v="4"/>
    <x v="1"/>
    <s v="Razer DeathAdder Essential"/>
    <n v="3"/>
    <n v="5400"/>
    <n v="0.2"/>
    <n v="776.32"/>
    <b v="0"/>
  </r>
  <r>
    <n v="100008"/>
    <x v="8"/>
    <s v="C1173"/>
    <s v="Karan Malhotra"/>
    <x v="3"/>
    <x v="0"/>
    <s v="HP Pavilion 14"/>
    <n v="2"/>
    <n v="124000"/>
    <n v="0.15"/>
    <n v="24703.32"/>
    <b v="0"/>
  </r>
  <r>
    <n v="100009"/>
    <x v="9"/>
    <s v="C1203"/>
    <s v="Varun Singh"/>
    <x v="5"/>
    <x v="2"/>
    <s v="Samsung Galaxy Tab S9"/>
    <n v="4"/>
    <n v="232000"/>
    <n v="0.05"/>
    <n v="29684.05"/>
    <b v="0"/>
  </r>
  <r>
    <n v="100010"/>
    <x v="10"/>
    <s v="C1137"/>
    <s v="Rahul Sharma"/>
    <x v="0"/>
    <x v="2"/>
    <s v="Samsung Galaxy Tab S9"/>
    <n v="1"/>
    <n v="58000"/>
    <n v="0.05"/>
    <n v="9621.31"/>
    <b v="0"/>
  </r>
  <r>
    <n v="100011"/>
    <x v="11"/>
    <s v="C1233"/>
    <s v="Pooja Joshi"/>
    <x v="6"/>
    <x v="2"/>
    <s v="Xiaomi Pad 7"/>
    <n v="3"/>
    <n v="84000"/>
    <n v="0.15"/>
    <n v="10343.280000000001"/>
    <b v="0"/>
  </r>
  <r>
    <n v="100012"/>
    <x v="12"/>
    <s v="C1122"/>
    <s v="Priya Patel"/>
    <x v="6"/>
    <x v="1"/>
    <s v="Logitech G102"/>
    <n v="3"/>
    <n v="4500"/>
    <n v="0.2"/>
    <n v="702.15"/>
    <b v="0"/>
  </r>
  <r>
    <n v="100013"/>
    <x v="13"/>
    <s v="C1146"/>
    <s v="Aditya Nair"/>
    <x v="4"/>
    <x v="0"/>
    <s v="Apple MacBook Air"/>
    <n v="4"/>
    <n v="340000"/>
    <n v="0.15"/>
    <n v="66379.210000000006"/>
    <b v="0"/>
  </r>
  <r>
    <n v="100014"/>
    <x v="14"/>
    <s v="C1189"/>
    <s v="Aditya Nair"/>
    <x v="3"/>
    <x v="1"/>
    <s v="HP Wireless Mouse 200"/>
    <n v="1"/>
    <n v="800"/>
    <n v="0.2"/>
    <n v="138.31"/>
    <b v="0"/>
  </r>
  <r>
    <n v="100015"/>
    <x v="15"/>
    <s v="C1145"/>
    <s v="Aditya Nair"/>
    <x v="7"/>
    <x v="2"/>
    <s v="Samsung Galaxy Tab S9"/>
    <n v="3"/>
    <n v="174000"/>
    <n v="0.2"/>
    <n v="16773.07"/>
    <b v="0"/>
  </r>
  <r>
    <n v="100016"/>
    <x v="16"/>
    <s v="C1206"/>
    <s v="Meera Kapoor"/>
    <x v="1"/>
    <x v="1"/>
    <s v="HP Wireless Mouse 200"/>
    <n v="2"/>
    <n v="1600"/>
    <n v="0.05"/>
    <n v="311.88"/>
    <b v="0"/>
  </r>
  <r>
    <n v="100017"/>
    <x v="17"/>
    <s v="C1239"/>
    <s v="Meera Kapoor"/>
    <x v="4"/>
    <x v="0"/>
    <s v="Dell Inspiron 15"/>
    <n v="4"/>
    <n v="220000"/>
    <n v="0.1"/>
    <n v="36955.730000000003"/>
    <b v="0"/>
  </r>
  <r>
    <n v="100018"/>
    <x v="18"/>
    <s v="C1240"/>
    <s v="Sneha Iyer"/>
    <x v="5"/>
    <x v="2"/>
    <s v="iPad 10th Gen"/>
    <n v="3"/>
    <n v="114000"/>
    <n v="0.05"/>
    <n v="13463.27"/>
    <b v="0"/>
  </r>
  <r>
    <n v="100019"/>
    <x v="19"/>
    <s v="C1203"/>
    <s v="Varun Singh"/>
    <x v="1"/>
    <x v="0"/>
    <s v="Apple MacBook Air"/>
    <n v="2"/>
    <n v="170000"/>
    <n v="0.2"/>
    <n v="32909.230000000003"/>
    <b v="0"/>
  </r>
  <r>
    <n v="100020"/>
    <x v="20"/>
    <s v="C1210"/>
    <s v="Karan Malhotra"/>
    <x v="5"/>
    <x v="3"/>
    <s v="boAt Rockerz 550"/>
    <n v="3"/>
    <n v="6000"/>
    <n v="0.05"/>
    <n v="1268.24"/>
    <b v="0"/>
  </r>
  <r>
    <n v="100021"/>
    <x v="21"/>
    <s v="C1203"/>
    <s v="Varun Singh"/>
    <x v="1"/>
    <x v="0"/>
    <s v="HP Pavilion 14"/>
    <n v="3"/>
    <n v="186000"/>
    <n v="0.05"/>
    <n v="41285.86"/>
    <b v="0"/>
  </r>
  <r>
    <n v="100022"/>
    <x v="22"/>
    <s v="C1159"/>
    <s v="Pooja Joshi"/>
    <x v="8"/>
    <x v="1"/>
    <s v="HP Wireless Mouse 200"/>
    <n v="3"/>
    <n v="2400"/>
    <n v="0.15"/>
    <n v="348.16"/>
    <b v="0"/>
  </r>
  <r>
    <n v="100023"/>
    <x v="23"/>
    <s v="C1199"/>
    <s v="Karan Malhotra"/>
    <x v="5"/>
    <x v="2"/>
    <s v="Samsung Galaxy Tab S9"/>
    <n v="2"/>
    <n v="116000"/>
    <n v="0.2"/>
    <n v="15739.77"/>
    <b v="0"/>
  </r>
  <r>
    <n v="100024"/>
    <x v="24"/>
    <s v="C1167"/>
    <s v="Amit Kumar"/>
    <x v="6"/>
    <x v="2"/>
    <s v="iPad 10th Gen"/>
    <n v="3"/>
    <n v="114000"/>
    <n v="0.1"/>
    <n v="23013.8"/>
    <b v="0"/>
  </r>
  <r>
    <n v="100025"/>
    <x v="25"/>
    <s v="C1232"/>
    <s v="Neha Gupta"/>
    <x v="2"/>
    <x v="1"/>
    <s v="Dell Optical Mouse"/>
    <n v="1"/>
    <n v="500"/>
    <n v="0.05"/>
    <n v="83.02"/>
    <b v="0"/>
  </r>
  <r>
    <n v="100026"/>
    <x v="26"/>
    <s v="C1219"/>
    <s v="Siddharth Rao"/>
    <x v="3"/>
    <x v="2"/>
    <s v="Samsung Galaxy Tab S9"/>
    <n v="2"/>
    <n v="116000"/>
    <n v="0.15"/>
    <n v="13465.7"/>
    <b v="0"/>
  </r>
  <r>
    <n v="100027"/>
    <x v="27"/>
    <s v="C1136"/>
    <s v="Pooja Joshi"/>
    <x v="1"/>
    <x v="0"/>
    <s v="Dell Inspiron 15"/>
    <n v="2"/>
    <n v="110000"/>
    <n v="0.15"/>
    <n v="21260.5"/>
    <b v="0"/>
  </r>
  <r>
    <n v="100028"/>
    <x v="28"/>
    <s v="C1171"/>
    <s v="Priya Patel"/>
    <x v="8"/>
    <x v="1"/>
    <s v="Logitech G102"/>
    <n v="4"/>
    <n v="6000"/>
    <n v="0.2"/>
    <n v="1188.6400000000001"/>
    <b v="0"/>
  </r>
  <r>
    <n v="100029"/>
    <x v="29"/>
    <s v="C1226"/>
    <s v="Pooja Joshi"/>
    <x v="5"/>
    <x v="2"/>
    <s v="iPad 10th Gen"/>
    <n v="1"/>
    <n v="38000"/>
    <n v="0.15"/>
    <n v="6513.97"/>
    <b v="0"/>
  </r>
  <r>
    <n v="100030"/>
    <x v="30"/>
    <s v="C1205"/>
    <s v="Meera Kapoor"/>
    <x v="6"/>
    <x v="0"/>
    <s v="Lenovo IdeaPad 3"/>
    <n v="3"/>
    <n v="135000"/>
    <n v="0.15"/>
    <n v="20480.52"/>
    <b v="0"/>
  </r>
  <r>
    <n v="100031"/>
    <x v="31"/>
    <s v="C1191"/>
    <s v="Vikram Reddy"/>
    <x v="2"/>
    <x v="3"/>
    <s v="Sony WH-CH520"/>
    <n v="1"/>
    <n v="4500"/>
    <n v="0.05"/>
    <n v="550.98"/>
    <b v="0"/>
  </r>
  <r>
    <n v="100032"/>
    <x v="32"/>
    <s v="C1130"/>
    <s v="Rahul Sharma"/>
    <x v="1"/>
    <x v="0"/>
    <s v="ASUS Vivobook 15"/>
    <n v="4"/>
    <n v="200000"/>
    <n v="0.05"/>
    <n v="34378.57"/>
    <b v="0"/>
  </r>
  <r>
    <n v="100033"/>
    <x v="0"/>
    <s v="C1221"/>
    <s v="Pooja Joshi"/>
    <x v="5"/>
    <x v="0"/>
    <s v="Dell Inspiron 15"/>
    <n v="1"/>
    <n v="55000"/>
    <n v="0.15"/>
    <n v="6985.65"/>
    <b v="0"/>
  </r>
  <r>
    <n v="100034"/>
    <x v="33"/>
    <s v="C1236"/>
    <s v="Karan Malhotra"/>
    <x v="5"/>
    <x v="2"/>
    <s v="Samsung Galaxy Tab S9"/>
    <n v="1"/>
    <n v="58000"/>
    <n v="0.2"/>
    <n v="5957.01"/>
    <b v="0"/>
  </r>
  <r>
    <n v="100035"/>
    <x v="34"/>
    <s v="C1150"/>
    <s v="Karan Malhotra"/>
    <x v="1"/>
    <x v="3"/>
    <s v="Realme Buds Wireless 3"/>
    <n v="2"/>
    <n v="3600"/>
    <n v="0.05"/>
    <n v="557.29999999999995"/>
    <b v="0"/>
  </r>
  <r>
    <n v="100036"/>
    <x v="35"/>
    <s v="C1128"/>
    <s v="Karan Malhotra"/>
    <x v="4"/>
    <x v="2"/>
    <s v="Xiaomi Pad 7"/>
    <n v="4"/>
    <n v="112000"/>
    <n v="0.15"/>
    <n v="19173.560000000001"/>
    <b v="0"/>
  </r>
  <r>
    <n v="100037"/>
    <x v="36"/>
    <s v="C1139"/>
    <s v="Sneha Iyer"/>
    <x v="4"/>
    <x v="3"/>
    <s v="boAt Rockerz 550"/>
    <n v="2"/>
    <n v="4000"/>
    <n v="0.05"/>
    <n v="596.92999999999995"/>
    <b v="0"/>
  </r>
  <r>
    <n v="100038"/>
    <x v="0"/>
    <s v="C1140"/>
    <s v="Meera Kapoor"/>
    <x v="6"/>
    <x v="3"/>
    <s v="JBL Tune 510BT"/>
    <n v="3"/>
    <n v="9600"/>
    <n v="0.2"/>
    <n v="1709.5"/>
    <b v="0"/>
  </r>
  <r>
    <n v="100039"/>
    <x v="37"/>
    <s v="C1110"/>
    <s v="Rohan Desai"/>
    <x v="2"/>
    <x v="0"/>
    <s v="Apple MacBook Air"/>
    <n v="1"/>
    <n v="85000"/>
    <n v="0.2"/>
    <n v="15509.34"/>
    <b v="0"/>
  </r>
  <r>
    <n v="100040"/>
    <x v="38"/>
    <s v="C1100"/>
    <s v="Neha Gupta"/>
    <x v="1"/>
    <x v="1"/>
    <s v="Dell Optical Mouse"/>
    <n v="1"/>
    <n v="500"/>
    <n v="0.05"/>
    <n v="62.8"/>
    <b v="0"/>
  </r>
  <r>
    <n v="100041"/>
    <x v="39"/>
    <s v="C1145"/>
    <s v="Aditya Nair"/>
    <x v="6"/>
    <x v="0"/>
    <s v="ASUS Vivobook 15"/>
    <n v="4"/>
    <n v="200000"/>
    <n v="0.15"/>
    <n v="38727.24"/>
    <b v="0"/>
  </r>
  <r>
    <n v="100042"/>
    <x v="40"/>
    <s v="C1200"/>
    <s v="Priya Patel"/>
    <x v="7"/>
    <x v="3"/>
    <s v="Realme Buds Wireless 3"/>
    <n v="1"/>
    <n v="1800"/>
    <n v="0.2"/>
    <n v="269.67"/>
    <b v="0"/>
  </r>
  <r>
    <n v="100043"/>
    <x v="41"/>
    <s v="C1248"/>
    <s v="Ananya Verma"/>
    <x v="0"/>
    <x v="1"/>
    <s v="Dell Optical Mouse"/>
    <n v="4"/>
    <n v="2000"/>
    <n v="0.1"/>
    <n v="317.7"/>
    <b v="0"/>
  </r>
  <r>
    <n v="100044"/>
    <x v="42"/>
    <s v="C1189"/>
    <s v="Aditya Nair"/>
    <x v="5"/>
    <x v="1"/>
    <s v="HP Wireless Mouse 200"/>
    <n v="1"/>
    <n v="800"/>
    <n v="0.15"/>
    <n v="160.5"/>
    <b v="0"/>
  </r>
  <r>
    <n v="100045"/>
    <x v="43"/>
    <s v="C1209"/>
    <s v="Neha Gupta"/>
    <x v="3"/>
    <x v="0"/>
    <s v="Apple MacBook Air"/>
    <n v="3"/>
    <n v="255000"/>
    <n v="0.1"/>
    <n v="45193.279999999999"/>
    <b v="0"/>
  </r>
  <r>
    <n v="100046"/>
    <x v="44"/>
    <s v="C1156"/>
    <s v="Rohan Desai"/>
    <x v="5"/>
    <x v="0"/>
    <s v="Dell Inspiron 15"/>
    <n v="4"/>
    <n v="220000"/>
    <n v="0.15"/>
    <n v="34895.56"/>
    <b v="0"/>
  </r>
  <r>
    <n v="100047"/>
    <x v="45"/>
    <s v="C1100"/>
    <s v="Neha Gupta"/>
    <x v="4"/>
    <x v="3"/>
    <s v="Realme Buds Wireless 3"/>
    <n v="2"/>
    <n v="3600"/>
    <n v="0.2"/>
    <n v="528.17999999999995"/>
    <b v="0"/>
  </r>
  <r>
    <n v="100048"/>
    <x v="46"/>
    <s v="C1162"/>
    <s v="Varun Singh"/>
    <x v="2"/>
    <x v="2"/>
    <s v="Lenovo Tab P12"/>
    <n v="2"/>
    <n v="52000"/>
    <n v="0.2"/>
    <n v="8240.32"/>
    <b v="0"/>
  </r>
  <r>
    <n v="100049"/>
    <x v="47"/>
    <s v="C1154"/>
    <s v="Rohan Desai"/>
    <x v="5"/>
    <x v="1"/>
    <s v="Logitech G102"/>
    <n v="1"/>
    <n v="1500"/>
    <n v="0.2"/>
    <n v="242.92"/>
    <b v="0"/>
  </r>
  <r>
    <n v="100050"/>
    <x v="48"/>
    <s v="C1214"/>
    <s v="Ananya Verma"/>
    <x v="1"/>
    <x v="2"/>
    <s v="Samsung Galaxy Tab S9"/>
    <n v="1"/>
    <n v="58000"/>
    <n v="0.1"/>
    <n v="8719.5400000000009"/>
    <b v="0"/>
  </r>
  <r>
    <n v="100051"/>
    <x v="49"/>
    <s v="C1242"/>
    <s v="Rahul Sharma"/>
    <x v="6"/>
    <x v="3"/>
    <s v="Sony WH-CH520"/>
    <n v="2"/>
    <n v="9000"/>
    <n v="0.15"/>
    <n v="1057.25"/>
    <b v="0"/>
  </r>
  <r>
    <n v="100052"/>
    <x v="50"/>
    <s v="C1248"/>
    <s v="Ananya Verma"/>
    <x v="1"/>
    <x v="3"/>
    <s v="Sony WH-CH520"/>
    <n v="1"/>
    <n v="4500"/>
    <n v="0.05"/>
    <n v="697.15"/>
    <b v="0"/>
  </r>
  <r>
    <n v="100053"/>
    <x v="51"/>
    <s v="C1152"/>
    <s v="Varun Singh"/>
    <x v="0"/>
    <x v="0"/>
    <s v="Dell Inspiron 15"/>
    <n v="4"/>
    <n v="220000"/>
    <n v="0.1"/>
    <n v="39481.480000000003"/>
    <b v="0"/>
  </r>
  <r>
    <n v="100054"/>
    <x v="9"/>
    <s v="C1236"/>
    <s v="Karan Malhotra"/>
    <x v="2"/>
    <x v="0"/>
    <s v="Lenovo IdeaPad 3"/>
    <n v="4"/>
    <n v="180000"/>
    <n v="0.05"/>
    <n v="32003.41"/>
    <b v="0"/>
  </r>
  <r>
    <n v="100055"/>
    <x v="52"/>
    <s v="C1156"/>
    <s v="Rohan Desai"/>
    <x v="6"/>
    <x v="2"/>
    <s v="Xiaomi Pad 7"/>
    <n v="2"/>
    <n v="56000"/>
    <n v="0.05"/>
    <n v="7899.08"/>
    <b v="0"/>
  </r>
  <r>
    <n v="100056"/>
    <x v="48"/>
    <s v="C1216"/>
    <s v="Priya Patel"/>
    <x v="1"/>
    <x v="1"/>
    <s v="Dell Optical Mouse"/>
    <n v="4"/>
    <n v="2000"/>
    <n v="0.05"/>
    <n v="311.7"/>
    <b v="0"/>
  </r>
  <r>
    <n v="100057"/>
    <x v="2"/>
    <s v="C1134"/>
    <s v="Riya Sen"/>
    <x v="4"/>
    <x v="0"/>
    <s v="Apple MacBook Air"/>
    <n v="1"/>
    <n v="85000"/>
    <n v="0.2"/>
    <n v="12691.98"/>
    <b v="0"/>
  </r>
  <r>
    <n v="100058"/>
    <x v="53"/>
    <s v="C1162"/>
    <s v="Varun Singh"/>
    <x v="3"/>
    <x v="1"/>
    <s v="Razer DeathAdder Essential"/>
    <n v="2"/>
    <n v="3600"/>
    <n v="0.05"/>
    <n v="586.91"/>
    <b v="0"/>
  </r>
  <r>
    <n v="100059"/>
    <x v="54"/>
    <s v="C1124"/>
    <s v="Karan Malhotra"/>
    <x v="0"/>
    <x v="0"/>
    <s v="ASUS Vivobook 15"/>
    <n v="1"/>
    <n v="50000"/>
    <n v="0.05"/>
    <n v="6402.95"/>
    <b v="0"/>
  </r>
  <r>
    <n v="100060"/>
    <x v="55"/>
    <s v="C1189"/>
    <s v="Aditya Nair"/>
    <x v="2"/>
    <x v="1"/>
    <s v="HP Wireless Mouse 200"/>
    <n v="3"/>
    <n v="2400"/>
    <n v="0.15"/>
    <n v="476.64"/>
    <b v="0"/>
  </r>
  <r>
    <n v="100061"/>
    <x v="56"/>
    <s v="C1174"/>
    <s v="Meera Kapoor"/>
    <x v="0"/>
    <x v="0"/>
    <s v="Dell Inspiron 15"/>
    <n v="2"/>
    <n v="110000"/>
    <n v="0.15"/>
    <n v="16697.009999999998"/>
    <b v="0"/>
  </r>
  <r>
    <n v="100062"/>
    <x v="57"/>
    <s v="C1137"/>
    <s v="Rahul Sharma"/>
    <x v="4"/>
    <x v="1"/>
    <s v="Razer DeathAdder Essential"/>
    <n v="1"/>
    <n v="1800"/>
    <n v="0.05"/>
    <n v="291.87"/>
    <b v="0"/>
  </r>
  <r>
    <n v="100063"/>
    <x v="58"/>
    <s v="C1229"/>
    <s v="Riya Sen"/>
    <x v="2"/>
    <x v="1"/>
    <s v="Dell Optical Mouse"/>
    <n v="4"/>
    <n v="2000"/>
    <n v="0.2"/>
    <n v="331.56"/>
    <b v="0"/>
  </r>
  <r>
    <n v="100064"/>
    <x v="59"/>
    <s v="C1234"/>
    <s v="Siddharth Rao"/>
    <x v="0"/>
    <x v="0"/>
    <s v="Lenovo IdeaPad 3"/>
    <n v="1"/>
    <n v="45000"/>
    <n v="0.2"/>
    <n v="5708.69"/>
    <b v="0"/>
  </r>
  <r>
    <n v="100065"/>
    <x v="0"/>
    <s v="C1190"/>
    <s v="Vikram Reddy"/>
    <x v="8"/>
    <x v="2"/>
    <s v="iPad 10th Gen"/>
    <n v="4"/>
    <n v="152000"/>
    <n v="0.1"/>
    <n v="29245.26"/>
    <b v="0"/>
  </r>
  <r>
    <n v="100066"/>
    <x v="60"/>
    <s v="C1116"/>
    <s v="Varun Singh"/>
    <x v="4"/>
    <x v="0"/>
    <s v="Dell Inspiron 15"/>
    <n v="2"/>
    <n v="110000"/>
    <n v="0.15"/>
    <n v="19942.09"/>
    <b v="0"/>
  </r>
  <r>
    <n v="100067"/>
    <x v="61"/>
    <s v="C1227"/>
    <s v="Riya Sen"/>
    <x v="4"/>
    <x v="1"/>
    <s v="HP Wireless Mouse 200"/>
    <n v="1"/>
    <n v="800"/>
    <n v="0.15"/>
    <n v="158.65"/>
    <b v="0"/>
  </r>
  <r>
    <n v="100068"/>
    <x v="25"/>
    <s v="C1207"/>
    <s v="Siddharth Rao"/>
    <x v="4"/>
    <x v="2"/>
    <s v="Samsung Galaxy Tab S9"/>
    <n v="4"/>
    <n v="232000"/>
    <n v="0.1"/>
    <n v="46780.83"/>
    <b v="0"/>
  </r>
  <r>
    <n v="100069"/>
    <x v="62"/>
    <s v="C1124"/>
    <s v="Karan Malhotra"/>
    <x v="8"/>
    <x v="3"/>
    <s v="Sony WH-CH520"/>
    <n v="1"/>
    <n v="4500"/>
    <n v="0.15"/>
    <n v="755.52"/>
    <b v="0"/>
  </r>
  <r>
    <n v="100070"/>
    <x v="63"/>
    <s v="C1187"/>
    <s v="Varun Singh"/>
    <x v="8"/>
    <x v="3"/>
    <s v="Realme Buds Wireless 3"/>
    <n v="1"/>
    <n v="1800"/>
    <n v="0.05"/>
    <n v="295.06"/>
    <b v="0"/>
  </r>
  <r>
    <n v="100071"/>
    <x v="64"/>
    <s v="C1128"/>
    <s v="Karan Malhotra"/>
    <x v="1"/>
    <x v="1"/>
    <s v="HP Wireless Mouse 200"/>
    <n v="1"/>
    <n v="800"/>
    <n v="0.15"/>
    <n v="118.08"/>
    <b v="0"/>
  </r>
  <r>
    <n v="100072"/>
    <x v="65"/>
    <s v="C1162"/>
    <s v="Varun Singh"/>
    <x v="6"/>
    <x v="0"/>
    <s v="ASUS Vivobook 15"/>
    <n v="2"/>
    <n v="100000"/>
    <n v="0.1"/>
    <n v="21190.06"/>
    <b v="0"/>
  </r>
  <r>
    <n v="100073"/>
    <x v="24"/>
    <s v="C1249"/>
    <s v="Amit Kumar"/>
    <x v="3"/>
    <x v="0"/>
    <s v="HP Pavilion 14"/>
    <n v="2"/>
    <n v="124000"/>
    <n v="0.1"/>
    <n v="15406.75"/>
    <b v="0"/>
  </r>
  <r>
    <n v="100074"/>
    <x v="66"/>
    <s v="C1213"/>
    <s v="Siddharth Rao"/>
    <x v="0"/>
    <x v="0"/>
    <s v="ASUS Vivobook 15"/>
    <n v="3"/>
    <n v="150000"/>
    <n v="0.2"/>
    <n v="17080.84"/>
    <b v="0"/>
  </r>
  <r>
    <n v="100075"/>
    <x v="67"/>
    <s v="C1148"/>
    <s v="Aditya Nair"/>
    <x v="1"/>
    <x v="2"/>
    <s v="iPad 10th Gen"/>
    <n v="1"/>
    <n v="38000"/>
    <n v="0.1"/>
    <n v="6460.34"/>
    <b v="0"/>
  </r>
  <r>
    <n v="100076"/>
    <x v="68"/>
    <s v="C1180"/>
    <s v="Meera Kapoor"/>
    <x v="0"/>
    <x v="1"/>
    <s v="Dell Optical Mouse"/>
    <n v="2"/>
    <n v="1000"/>
    <n v="0.2"/>
    <n v="181.28"/>
    <b v="0"/>
  </r>
  <r>
    <n v="100077"/>
    <x v="69"/>
    <s v="C1183"/>
    <s v="Rahul Sharma"/>
    <x v="3"/>
    <x v="0"/>
    <s v="Lenovo IdeaPad 3"/>
    <n v="3"/>
    <n v="135000"/>
    <n v="0.15"/>
    <n v="21019.91"/>
    <b v="0"/>
  </r>
  <r>
    <n v="100078"/>
    <x v="61"/>
    <s v="C1204"/>
    <s v="Aditya Nair"/>
    <x v="6"/>
    <x v="0"/>
    <s v="HP Pavilion 14"/>
    <n v="1"/>
    <n v="62000"/>
    <n v="0.05"/>
    <n v="13255.03"/>
    <b v="0"/>
  </r>
  <r>
    <n v="100079"/>
    <x v="70"/>
    <s v="C1247"/>
    <s v="Sneha Iyer"/>
    <x v="8"/>
    <x v="1"/>
    <s v="HP Wireless Mouse 200"/>
    <n v="1"/>
    <n v="800"/>
    <n v="0.15"/>
    <n v="153.80000000000001"/>
    <b v="0"/>
  </r>
  <r>
    <n v="100080"/>
    <x v="71"/>
    <s v="C1217"/>
    <s v="Meera Kapoor"/>
    <x v="6"/>
    <x v="2"/>
    <s v="Lenovo Tab P12"/>
    <n v="1"/>
    <n v="26000"/>
    <n v="0.1"/>
    <n v="5399.3"/>
    <b v="0"/>
  </r>
  <r>
    <n v="100081"/>
    <x v="13"/>
    <s v="C1185"/>
    <s v="Priya Patel"/>
    <x v="8"/>
    <x v="3"/>
    <s v="JBL Tune 510BT"/>
    <n v="1"/>
    <n v="3200"/>
    <n v="0.15"/>
    <n v="518.24"/>
    <b v="0"/>
  </r>
  <r>
    <n v="100082"/>
    <x v="72"/>
    <s v="C1162"/>
    <s v="Varun Singh"/>
    <x v="3"/>
    <x v="2"/>
    <s v="Samsung Galaxy Tab S9"/>
    <n v="2"/>
    <n v="116000"/>
    <n v="0.2"/>
    <n v="13865.83"/>
    <b v="0"/>
  </r>
  <r>
    <n v="100083"/>
    <x v="73"/>
    <s v="C1203"/>
    <s v="Varun Singh"/>
    <x v="6"/>
    <x v="3"/>
    <s v="JBL Tune 510BT"/>
    <n v="3"/>
    <n v="9600"/>
    <n v="0.2"/>
    <n v="1499.94"/>
    <b v="0"/>
  </r>
  <r>
    <n v="100084"/>
    <x v="43"/>
    <s v="C1148"/>
    <s v="Aditya Nair"/>
    <x v="1"/>
    <x v="0"/>
    <s v="Dell Inspiron 15"/>
    <n v="4"/>
    <n v="220000"/>
    <n v="0.2"/>
    <n v="29612.43"/>
    <b v="0"/>
  </r>
  <r>
    <n v="100085"/>
    <x v="35"/>
    <s v="C1170"/>
    <s v="Ananya Verma"/>
    <x v="2"/>
    <x v="0"/>
    <s v="Lenovo IdeaPad 3"/>
    <n v="4"/>
    <n v="180000"/>
    <n v="0.05"/>
    <n v="32208.81"/>
    <b v="0"/>
  </r>
  <r>
    <n v="100086"/>
    <x v="64"/>
    <s v="C1100"/>
    <s v="Neha Gupta"/>
    <x v="1"/>
    <x v="2"/>
    <s v="Lenovo Tab P12"/>
    <n v="4"/>
    <n v="104000"/>
    <n v="0.05"/>
    <n v="20149.89"/>
    <b v="0"/>
  </r>
  <r>
    <n v="100087"/>
    <x v="74"/>
    <s v="C1240"/>
    <s v="Sneha Iyer"/>
    <x v="0"/>
    <x v="0"/>
    <s v="ASUS Vivobook 15"/>
    <n v="1"/>
    <n v="50000"/>
    <n v="0.15"/>
    <n v="5953.39"/>
    <b v="0"/>
  </r>
  <r>
    <n v="100088"/>
    <x v="75"/>
    <s v="C1222"/>
    <s v="Karan Malhotra"/>
    <x v="1"/>
    <x v="0"/>
    <s v="HP Pavilion 14"/>
    <n v="4"/>
    <n v="248000"/>
    <n v="0.1"/>
    <n v="8250"/>
    <b v="0"/>
  </r>
  <r>
    <n v="100089"/>
    <x v="68"/>
    <s v="C1161"/>
    <s v="Priya Patel"/>
    <x v="3"/>
    <x v="1"/>
    <s v="HP Wireless Mouse 200"/>
    <n v="3"/>
    <n v="2400"/>
    <n v="0.15"/>
    <n v="353.43"/>
    <b v="0"/>
  </r>
  <r>
    <n v="100090"/>
    <x v="34"/>
    <s v="C1131"/>
    <s v="Karan Malhotra"/>
    <x v="4"/>
    <x v="0"/>
    <s v="ASUS Vivobook 15"/>
    <n v="2"/>
    <n v="100000"/>
    <n v="0.2"/>
    <n v="15900.1"/>
    <b v="0"/>
  </r>
  <r>
    <n v="100091"/>
    <x v="6"/>
    <s v="C1128"/>
    <s v="Karan Malhotra"/>
    <x v="0"/>
    <x v="2"/>
    <s v="Lenovo Tab P12"/>
    <n v="4"/>
    <n v="104000"/>
    <n v="0.2"/>
    <n v="20670.599999999999"/>
    <b v="0"/>
  </r>
  <r>
    <n v="100092"/>
    <x v="76"/>
    <s v="C1148"/>
    <s v="Aditya Nair"/>
    <x v="6"/>
    <x v="0"/>
    <s v="Lenovo IdeaPad 3"/>
    <n v="1"/>
    <n v="45000"/>
    <n v="0.05"/>
    <n v="10532.03"/>
    <b v="0"/>
  </r>
  <r>
    <n v="100093"/>
    <x v="75"/>
    <s v="C1129"/>
    <s v="Ananya Verma"/>
    <x v="0"/>
    <x v="2"/>
    <s v="Lenovo Tab P12"/>
    <n v="4"/>
    <n v="104000"/>
    <n v="0.15"/>
    <n v="16720.740000000002"/>
    <b v="0"/>
  </r>
  <r>
    <n v="100094"/>
    <x v="18"/>
    <s v="C1243"/>
    <s v="Siddharth Rao"/>
    <x v="2"/>
    <x v="0"/>
    <s v="Lenovo IdeaPad 3"/>
    <n v="2"/>
    <n v="90000"/>
    <n v="0.15"/>
    <n v="11257.15"/>
    <b v="0"/>
  </r>
  <r>
    <n v="100095"/>
    <x v="77"/>
    <s v="C1286"/>
    <s v="Varun Singh"/>
    <x v="4"/>
    <x v="0"/>
    <s v="ASUS Vivobook 15"/>
    <n v="1"/>
    <n v="50000"/>
    <n v="0.04"/>
    <n v="4466.41"/>
    <b v="0"/>
  </r>
  <r>
    <n v="100096"/>
    <x v="78"/>
    <s v="C1117"/>
    <s v="Siddharth Rao"/>
    <x v="6"/>
    <x v="2"/>
    <s v="iPad 10th Gen"/>
    <n v="1"/>
    <n v="38000"/>
    <n v="0.15"/>
    <n v="5924.49"/>
    <b v="0"/>
  </r>
  <r>
    <n v="100097"/>
    <x v="45"/>
    <s v="C1100"/>
    <s v="Neha Gupta"/>
    <x v="5"/>
    <x v="2"/>
    <s v="Xiaomi Pad 7"/>
    <n v="2"/>
    <n v="56000"/>
    <n v="0.05"/>
    <n v="8945.67"/>
    <b v="0"/>
  </r>
  <r>
    <n v="100098"/>
    <x v="75"/>
    <s v="C1177"/>
    <s v="Karan Malhotra"/>
    <x v="0"/>
    <x v="3"/>
    <s v="boAt Rockerz 550"/>
    <n v="3"/>
    <n v="6000"/>
    <n v="0.15"/>
    <n v="906.46"/>
    <b v="0"/>
  </r>
  <r>
    <n v="100099"/>
    <x v="79"/>
    <s v="C1214"/>
    <s v="Ananya Verma"/>
    <x v="6"/>
    <x v="2"/>
    <s v="Lenovo Tab P12"/>
    <n v="1"/>
    <n v="26000"/>
    <n v="0.05"/>
    <n v="3247.22"/>
    <b v="0"/>
  </r>
  <r>
    <n v="100100"/>
    <x v="77"/>
    <s v="C1212"/>
    <s v="Aditya Nair"/>
    <x v="6"/>
    <x v="1"/>
    <s v="HP Wireless Mouse 200"/>
    <n v="2"/>
    <n v="1600"/>
    <n v="0.2"/>
    <n v="158.75"/>
    <b v="0"/>
  </r>
  <r>
    <n v="100101"/>
    <x v="80"/>
    <s v="C1213"/>
    <s v="Siddharth Rao"/>
    <x v="6"/>
    <x v="3"/>
    <s v="Realme Buds Wireless 3"/>
    <n v="2"/>
    <n v="3600"/>
    <n v="0.2"/>
    <n v="712.55"/>
    <b v="0"/>
  </r>
  <r>
    <n v="100102"/>
    <x v="81"/>
    <s v="C1162"/>
    <s v="Varun Singh"/>
    <x v="8"/>
    <x v="0"/>
    <s v="ASUS Vivobook 15"/>
    <n v="1"/>
    <n v="50000"/>
    <n v="0.1"/>
    <n v="6384.77"/>
    <b v="0"/>
  </r>
  <r>
    <n v="100103"/>
    <x v="82"/>
    <s v="C1231"/>
    <s v="Pooja Joshi"/>
    <x v="5"/>
    <x v="0"/>
    <s v="Dell Inspiron 15"/>
    <n v="3"/>
    <n v="165000"/>
    <n v="0.15"/>
    <n v="23324.15"/>
    <b v="0"/>
  </r>
  <r>
    <n v="100104"/>
    <x v="83"/>
    <s v="C1228"/>
    <s v="Meera Kapoor"/>
    <x v="3"/>
    <x v="2"/>
    <s v="Lenovo Tab P12"/>
    <n v="1"/>
    <n v="26000"/>
    <n v="0.15"/>
    <n v="3161.01"/>
    <b v="0"/>
  </r>
  <r>
    <n v="100105"/>
    <x v="61"/>
    <s v="C1107"/>
    <s v="Ananya Verma"/>
    <x v="1"/>
    <x v="0"/>
    <s v="Lenovo IdeaPad 3"/>
    <n v="1"/>
    <n v="45000"/>
    <n v="0.2"/>
    <n v="8207.6200000000008"/>
    <b v="0"/>
  </r>
  <r>
    <n v="100106"/>
    <x v="84"/>
    <s v="C1154"/>
    <s v="Rohan Desai"/>
    <x v="6"/>
    <x v="3"/>
    <s v="JBL Tune 510BT"/>
    <n v="1"/>
    <n v="3200"/>
    <n v="0.2"/>
    <n v="501.22"/>
    <b v="0"/>
  </r>
  <r>
    <n v="100107"/>
    <x v="77"/>
    <s v="C1202"/>
    <s v="Aditya Nair"/>
    <x v="4"/>
    <x v="0"/>
    <s v="Dell Inspiron 15"/>
    <n v="1"/>
    <n v="55000"/>
    <n v="0.15"/>
    <n v="10573.84"/>
    <b v="0"/>
  </r>
  <r>
    <n v="100108"/>
    <x v="85"/>
    <s v="C1230"/>
    <s v="Rahul Sharma"/>
    <x v="7"/>
    <x v="3"/>
    <s v="JBL Tune 510BT"/>
    <n v="1"/>
    <n v="3200"/>
    <n v="0.05"/>
    <n v="655.11"/>
    <b v="0"/>
  </r>
  <r>
    <n v="100109"/>
    <x v="13"/>
    <s v="C1131"/>
    <s v="Karan Malhotra"/>
    <x v="2"/>
    <x v="2"/>
    <s v="Lenovo Tab P12"/>
    <n v="2"/>
    <n v="52000"/>
    <n v="0.05"/>
    <n v="11017.57"/>
    <b v="0"/>
  </r>
  <r>
    <n v="100110"/>
    <x v="22"/>
    <s v="C1109"/>
    <s v="Amit Kumar"/>
    <x v="8"/>
    <x v="1"/>
    <s v="Logitech G102"/>
    <n v="3"/>
    <n v="4500"/>
    <n v="0.05"/>
    <n v="595.24"/>
    <b v="0"/>
  </r>
  <r>
    <n v="100111"/>
    <x v="43"/>
    <s v="C1209"/>
    <s v="Neha Gupta"/>
    <x v="0"/>
    <x v="0"/>
    <s v="ASUS Vivobook 15"/>
    <n v="1"/>
    <n v="50000"/>
    <n v="0.2"/>
    <n v="9516.1"/>
    <b v="0"/>
  </r>
  <r>
    <n v="100112"/>
    <x v="66"/>
    <s v="C1223"/>
    <s v="Karan Malhotra"/>
    <x v="8"/>
    <x v="1"/>
    <s v="Dell Optical Mouse"/>
    <n v="3"/>
    <n v="1500"/>
    <n v="0.05"/>
    <n v="281.99"/>
    <b v="0"/>
  </r>
  <r>
    <n v="100113"/>
    <x v="86"/>
    <s v="C1186"/>
    <s v="Siddharth Rao"/>
    <x v="0"/>
    <x v="2"/>
    <s v="Xiaomi Pad 7"/>
    <n v="3"/>
    <n v="84000"/>
    <n v="0.2"/>
    <n v="8395.81"/>
    <b v="0"/>
  </r>
  <r>
    <n v="100114"/>
    <x v="87"/>
    <s v="C1154"/>
    <s v="Rohan Desai"/>
    <x v="8"/>
    <x v="2"/>
    <s v="iPad 10th Gen"/>
    <n v="3"/>
    <n v="114000"/>
    <n v="0.2"/>
    <n v="11628.58"/>
    <b v="0"/>
  </r>
  <r>
    <n v="100115"/>
    <x v="88"/>
    <s v="C1131"/>
    <s v="Karan Malhotra"/>
    <x v="0"/>
    <x v="3"/>
    <s v="Realme Buds Wireless 3"/>
    <n v="1"/>
    <n v="1800"/>
    <n v="0.1"/>
    <n v="201.66"/>
    <b v="0"/>
  </r>
  <r>
    <n v="100116"/>
    <x v="89"/>
    <s v="C1234"/>
    <s v="Siddharth Rao"/>
    <x v="6"/>
    <x v="2"/>
    <s v="Xiaomi Pad 7"/>
    <n v="3"/>
    <n v="84000"/>
    <n v="0.15"/>
    <n v="13328.76"/>
    <b v="0"/>
  </r>
  <r>
    <n v="100117"/>
    <x v="90"/>
    <s v="C1192"/>
    <s v="Amit Kumar"/>
    <x v="1"/>
    <x v="3"/>
    <s v="Realme Buds Wireless 3"/>
    <n v="4"/>
    <n v="7200"/>
    <n v="0.2"/>
    <n v="1059.56"/>
    <b v="0"/>
  </r>
  <r>
    <n v="100118"/>
    <x v="23"/>
    <s v="C1107"/>
    <s v="Ananya Verma"/>
    <x v="0"/>
    <x v="1"/>
    <s v="Razer DeathAdder Essential"/>
    <n v="4"/>
    <n v="7200"/>
    <n v="0.1"/>
    <n v="1217.71"/>
    <b v="0"/>
  </r>
  <r>
    <n v="100119"/>
    <x v="91"/>
    <s v="C1164"/>
    <s v="Karan Malhotra"/>
    <x v="5"/>
    <x v="2"/>
    <s v="Lenovo Tab P12"/>
    <n v="3"/>
    <n v="78000"/>
    <n v="0.15"/>
    <n v="13177"/>
    <b v="0"/>
  </r>
  <r>
    <n v="100120"/>
    <x v="92"/>
    <s v="C1156"/>
    <s v="Rohan Desai"/>
    <x v="0"/>
    <x v="3"/>
    <s v="boAt Rockerz 550"/>
    <n v="3"/>
    <n v="6000"/>
    <n v="0.1"/>
    <n v="1157.45"/>
    <b v="0"/>
  </r>
  <r>
    <n v="100121"/>
    <x v="93"/>
    <s v="C1166"/>
    <s v="Priya Patel"/>
    <x v="4"/>
    <x v="0"/>
    <s v="Dell Inspiron 15"/>
    <n v="2"/>
    <n v="110000"/>
    <n v="0.2"/>
    <n v="20026.82"/>
    <b v="0"/>
  </r>
  <r>
    <n v="100122"/>
    <x v="94"/>
    <s v="C1171"/>
    <s v="Priya Patel"/>
    <x v="0"/>
    <x v="1"/>
    <s v="HP Wireless Mouse 200"/>
    <n v="4"/>
    <n v="3200"/>
    <n v="0.15"/>
    <n v="664.46"/>
    <b v="0"/>
  </r>
  <r>
    <n v="100123"/>
    <x v="66"/>
    <s v="C1153"/>
    <s v="Pooja Joshi"/>
    <x v="4"/>
    <x v="3"/>
    <s v="JBL Tune 510BT"/>
    <n v="1"/>
    <n v="3200"/>
    <n v="0.2"/>
    <n v="591.4"/>
    <b v="0"/>
  </r>
  <r>
    <n v="100124"/>
    <x v="95"/>
    <s v="C1166"/>
    <s v="Priya Patel"/>
    <x v="2"/>
    <x v="0"/>
    <s v="ASUS Vivobook 15"/>
    <n v="1"/>
    <n v="50000"/>
    <n v="0.05"/>
    <n v="11214.83"/>
    <b v="0"/>
  </r>
  <r>
    <n v="100125"/>
    <x v="96"/>
    <s v="C1150"/>
    <s v="Karan Malhotra"/>
    <x v="6"/>
    <x v="1"/>
    <s v="HP Wireless Mouse 200"/>
    <n v="2"/>
    <n v="1600"/>
    <n v="0.15"/>
    <n v="242.46"/>
    <b v="0"/>
  </r>
  <r>
    <n v="100126"/>
    <x v="97"/>
    <s v="C1196"/>
    <s v="Meera Kapoor"/>
    <x v="4"/>
    <x v="0"/>
    <s v="Apple MacBook Air"/>
    <n v="3"/>
    <n v="255000"/>
    <n v="0.15"/>
    <n v="26548.639999999999"/>
    <b v="0"/>
  </r>
  <r>
    <n v="100127"/>
    <x v="4"/>
    <s v="C1191"/>
    <s v="Vikram Reddy"/>
    <x v="1"/>
    <x v="3"/>
    <s v="Sony WH-CH520"/>
    <n v="1"/>
    <n v="4500"/>
    <n v="0.1"/>
    <n v="866.51"/>
    <b v="0"/>
  </r>
  <r>
    <n v="100128"/>
    <x v="98"/>
    <s v="C1107"/>
    <s v="Ananya Verma"/>
    <x v="3"/>
    <x v="2"/>
    <s v="Samsung Galaxy Tab S9"/>
    <n v="2"/>
    <n v="116000"/>
    <n v="0.2"/>
    <n v="14747.91"/>
    <b v="0"/>
  </r>
  <r>
    <n v="100129"/>
    <x v="45"/>
    <s v="C1134"/>
    <s v="Riya Sen"/>
    <x v="6"/>
    <x v="3"/>
    <s v="Realme Buds Wireless 3"/>
    <n v="2"/>
    <n v="3600"/>
    <n v="0.05"/>
    <n v="534.34"/>
    <b v="0"/>
  </r>
  <r>
    <n v="100130"/>
    <x v="99"/>
    <s v="C1195"/>
    <s v="Riya Sen"/>
    <x v="4"/>
    <x v="3"/>
    <s v="Sony WH-CH520"/>
    <n v="1"/>
    <n v="4500"/>
    <n v="0.1"/>
    <n v="490.67"/>
    <b v="0"/>
  </r>
  <r>
    <n v="100131"/>
    <x v="100"/>
    <s v="C1187"/>
    <s v="Varun Singh"/>
    <x v="6"/>
    <x v="1"/>
    <s v="Razer DeathAdder Essential"/>
    <n v="4"/>
    <n v="7200"/>
    <n v="0.1"/>
    <n v="1475.5"/>
    <b v="0"/>
  </r>
  <r>
    <n v="100132"/>
    <x v="65"/>
    <s v="C1177"/>
    <s v="Karan Malhotra"/>
    <x v="5"/>
    <x v="1"/>
    <s v="Razer DeathAdder Essential"/>
    <n v="3"/>
    <n v="5400"/>
    <n v="0.15"/>
    <n v="991.09"/>
    <b v="0"/>
  </r>
  <r>
    <n v="100133"/>
    <x v="101"/>
    <s v="C1131"/>
    <s v="Karan Malhotra"/>
    <x v="6"/>
    <x v="0"/>
    <s v="Apple MacBook Air"/>
    <n v="1"/>
    <n v="85000"/>
    <n v="0.15"/>
    <n v="10011.719999999999"/>
    <b v="0"/>
  </r>
  <r>
    <n v="100134"/>
    <x v="102"/>
    <s v="C1219"/>
    <s v="Siddharth Rao"/>
    <x v="6"/>
    <x v="3"/>
    <s v="Realme Buds Wireless 3"/>
    <n v="1"/>
    <n v="1800"/>
    <n v="0.2"/>
    <n v="296.08"/>
    <b v="0"/>
  </r>
  <r>
    <n v="100135"/>
    <x v="28"/>
    <s v="C1145"/>
    <s v="Aditya Nair"/>
    <x v="2"/>
    <x v="1"/>
    <s v="Logitech G102"/>
    <n v="4"/>
    <n v="6000"/>
    <n v="0.15"/>
    <n v="1018.82"/>
    <b v="0"/>
  </r>
  <r>
    <n v="100136"/>
    <x v="103"/>
    <s v="C1243"/>
    <s v="Siddharth Rao"/>
    <x v="1"/>
    <x v="3"/>
    <s v="JBL Tune 510BT"/>
    <n v="1"/>
    <n v="3200"/>
    <n v="0.1"/>
    <n v="374.67"/>
    <b v="0"/>
  </r>
  <r>
    <n v="100137"/>
    <x v="101"/>
    <s v="C1241"/>
    <s v="Rohan Desai"/>
    <x v="8"/>
    <x v="3"/>
    <s v="Realme Buds Wireless 3"/>
    <n v="2"/>
    <n v="3600"/>
    <n v="0.15"/>
    <n v="393.46"/>
    <b v="0"/>
  </r>
  <r>
    <n v="100138"/>
    <x v="32"/>
    <s v="C1154"/>
    <s v="Rohan Desai"/>
    <x v="8"/>
    <x v="1"/>
    <s v="Dell Optical Mouse"/>
    <n v="3"/>
    <n v="1500"/>
    <n v="0.1"/>
    <n v="303.85000000000002"/>
    <b v="0"/>
  </r>
  <r>
    <n v="100139"/>
    <x v="104"/>
    <s v="C1106"/>
    <s v="Riya Sen"/>
    <x v="4"/>
    <x v="0"/>
    <s v="HP Pavilion 14"/>
    <n v="1"/>
    <n v="62000"/>
    <n v="0.05"/>
    <n v="7840.91"/>
    <b v="0"/>
  </r>
  <r>
    <n v="100140"/>
    <x v="105"/>
    <s v="C1186"/>
    <s v="Rohan Desai"/>
    <x v="0"/>
    <x v="1"/>
    <s v="Logitech G102"/>
    <n v="2"/>
    <n v="3000"/>
    <n v="0.16"/>
    <n v="96.69"/>
    <b v="0"/>
  </r>
  <r>
    <n v="100141"/>
    <x v="58"/>
    <s v="C1106"/>
    <s v="Riya Sen"/>
    <x v="4"/>
    <x v="2"/>
    <s v="Samsung Galaxy Tab S9"/>
    <n v="4"/>
    <n v="232000"/>
    <n v="0.2"/>
    <n v="33811.449999999997"/>
    <b v="0"/>
  </r>
  <r>
    <n v="100142"/>
    <x v="106"/>
    <s v="C1184"/>
    <s v="Varun Singh"/>
    <x v="2"/>
    <x v="2"/>
    <s v="Samsung Galaxy Tab S9"/>
    <n v="2"/>
    <n v="116000"/>
    <n v="0.05"/>
    <n v="22777.360000000001"/>
    <b v="0"/>
  </r>
  <r>
    <n v="100143"/>
    <x v="107"/>
    <s v="C1246"/>
    <s v="Rahul Sharma"/>
    <x v="2"/>
    <x v="1"/>
    <s v="Dell Optical Mouse"/>
    <n v="2"/>
    <n v="1000"/>
    <n v="0.15"/>
    <n v="146.34"/>
    <b v="0"/>
  </r>
  <r>
    <n v="100144"/>
    <x v="14"/>
    <s v="C1211"/>
    <s v="Pooja Joshi"/>
    <x v="0"/>
    <x v="1"/>
    <s v="Razer DeathAdder Essential"/>
    <n v="4"/>
    <n v="7200"/>
    <n v="0.1"/>
    <n v="1001.82"/>
    <b v="0"/>
  </r>
  <r>
    <n v="100145"/>
    <x v="108"/>
    <s v="C1224"/>
    <s v="Karan Malhotra"/>
    <x v="5"/>
    <x v="2"/>
    <s v="Xiaomi Pad 7"/>
    <n v="3"/>
    <n v="84000"/>
    <n v="0.05"/>
    <n v="18313.3"/>
    <b v="0"/>
  </r>
  <r>
    <n v="100146"/>
    <x v="109"/>
    <s v="C1246"/>
    <s v="Rahul Sharma"/>
    <x v="2"/>
    <x v="0"/>
    <s v="ASUS Vivobook 15"/>
    <n v="2"/>
    <n v="100000"/>
    <n v="0.05"/>
    <n v="11815.81"/>
    <b v="0"/>
  </r>
  <r>
    <n v="100147"/>
    <x v="110"/>
    <s v="C1135"/>
    <s v="Karan Malhotra"/>
    <x v="0"/>
    <x v="1"/>
    <s v="Logitech G102"/>
    <n v="3"/>
    <n v="4500"/>
    <n v="0.05"/>
    <n v="935.15"/>
    <b v="0"/>
  </r>
  <r>
    <n v="100148"/>
    <x v="111"/>
    <s v="C1128"/>
    <s v="Karan Malhotra"/>
    <x v="1"/>
    <x v="1"/>
    <s v="Logitech G102"/>
    <n v="3"/>
    <n v="4500"/>
    <n v="0.15"/>
    <n v="890.08"/>
    <b v="0"/>
  </r>
  <r>
    <n v="100149"/>
    <x v="12"/>
    <s v="C1181"/>
    <s v="Rohan Desai"/>
    <x v="4"/>
    <x v="2"/>
    <s v="Samsung Galaxy Tab S9"/>
    <n v="4"/>
    <n v="232000"/>
    <n v="0.2"/>
    <n v="35654.769999999997"/>
    <b v="0"/>
  </r>
  <r>
    <n v="100150"/>
    <x v="112"/>
    <s v="C1101"/>
    <s v="Varun Singh"/>
    <x v="3"/>
    <x v="3"/>
    <s v="Realme Buds Wireless 3"/>
    <n v="2"/>
    <n v="3600"/>
    <n v="0.1"/>
    <n v="583.89"/>
    <b v="0"/>
  </r>
  <r>
    <n v="100151"/>
    <x v="102"/>
    <s v="C1228"/>
    <s v="Meera Kapoor"/>
    <x v="1"/>
    <x v="2"/>
    <s v="Lenovo Tab P12"/>
    <n v="1"/>
    <n v="26000"/>
    <n v="0.2"/>
    <n v="3280.08"/>
    <b v="0"/>
  </r>
  <r>
    <n v="100152"/>
    <x v="96"/>
    <s v="C1146"/>
    <s v="Aditya Nair"/>
    <x v="2"/>
    <x v="2"/>
    <s v="iPad 10th Gen"/>
    <n v="4"/>
    <n v="152000"/>
    <n v="0.05"/>
    <n v="34538.01"/>
    <b v="0"/>
  </r>
  <r>
    <n v="100153"/>
    <x v="28"/>
    <s v="C1247"/>
    <s v="Sneha Iyer"/>
    <x v="1"/>
    <x v="3"/>
    <s v="Sony WH-CH520"/>
    <n v="4"/>
    <n v="18000"/>
    <n v="0.15"/>
    <n v="2151.5"/>
    <b v="0"/>
  </r>
  <r>
    <n v="100154"/>
    <x v="113"/>
    <s v="C1110"/>
    <s v="Rohan Desai"/>
    <x v="1"/>
    <x v="2"/>
    <s v="Samsung Galaxy Tab S9"/>
    <n v="4"/>
    <n v="232000"/>
    <n v="0.1"/>
    <n v="44646.41"/>
    <b v="0"/>
  </r>
  <r>
    <n v="100155"/>
    <x v="114"/>
    <s v="C1229"/>
    <s v="Riya Sen"/>
    <x v="5"/>
    <x v="0"/>
    <s v="Lenovo IdeaPad 3"/>
    <n v="1"/>
    <n v="45000"/>
    <n v="0.15"/>
    <n v="5100.92"/>
    <b v="0"/>
  </r>
  <r>
    <n v="100156"/>
    <x v="79"/>
    <s v="C1218"/>
    <s v="Ananya Verma"/>
    <x v="5"/>
    <x v="0"/>
    <s v="HP Pavilion 14"/>
    <n v="1"/>
    <n v="62000"/>
    <n v="0.1"/>
    <n v="11882.89"/>
    <b v="0"/>
  </r>
  <r>
    <n v="100157"/>
    <x v="115"/>
    <s v="C1239"/>
    <s v="Meera Kapoor"/>
    <x v="5"/>
    <x v="2"/>
    <s v="Samsung Galaxy Tab S9"/>
    <n v="1"/>
    <n v="58000"/>
    <n v="0.15"/>
    <n v="9654.16"/>
    <b v="0"/>
  </r>
  <r>
    <n v="100158"/>
    <x v="116"/>
    <s v="C1119"/>
    <s v="Rohan Desai"/>
    <x v="1"/>
    <x v="3"/>
    <s v="boAt Rockerz 550"/>
    <n v="2"/>
    <n v="4000"/>
    <n v="0.05"/>
    <n v="920.58"/>
    <b v="0"/>
  </r>
  <r>
    <n v="100159"/>
    <x v="117"/>
    <s v="C1104"/>
    <s v="Sneha Iyer"/>
    <x v="2"/>
    <x v="3"/>
    <s v="boAt Rockerz 550"/>
    <n v="4"/>
    <n v="8000"/>
    <n v="0.15"/>
    <n v="1546.82"/>
    <b v="0"/>
  </r>
  <r>
    <n v="100160"/>
    <x v="118"/>
    <s v="C1136"/>
    <s v="Pooja Joshi"/>
    <x v="3"/>
    <x v="1"/>
    <s v="HP Wireless Mouse 200"/>
    <n v="1"/>
    <n v="800"/>
    <n v="0.15"/>
    <n v="158.19999999999999"/>
    <b v="0"/>
  </r>
  <r>
    <n v="100161"/>
    <x v="43"/>
    <s v="C1236"/>
    <s v="Karan Malhotra"/>
    <x v="6"/>
    <x v="3"/>
    <s v="Realme Buds Wireless 3"/>
    <n v="2"/>
    <n v="3600"/>
    <n v="0.15"/>
    <n v="742.32"/>
    <b v="0"/>
  </r>
  <r>
    <n v="100162"/>
    <x v="119"/>
    <s v="C1152"/>
    <s v="Varun Singh"/>
    <x v="1"/>
    <x v="1"/>
    <s v="Logitech G102"/>
    <n v="2"/>
    <n v="3000"/>
    <n v="0.2"/>
    <n v="580.13"/>
    <b v="0"/>
  </r>
  <r>
    <n v="100163"/>
    <x v="64"/>
    <s v="C1198"/>
    <s v="Amit Kumar"/>
    <x v="0"/>
    <x v="1"/>
    <s v="Logitech G102"/>
    <n v="1"/>
    <n v="1500"/>
    <n v="0.1"/>
    <n v="169.42"/>
    <b v="0"/>
  </r>
  <r>
    <n v="100164"/>
    <x v="12"/>
    <s v="C1185"/>
    <s v="Priya Patel"/>
    <x v="2"/>
    <x v="0"/>
    <s v="ASUS Vivobook 15"/>
    <n v="4"/>
    <n v="200000"/>
    <n v="0.15"/>
    <n v="39057.9"/>
    <b v="0"/>
  </r>
  <r>
    <n v="100165"/>
    <x v="103"/>
    <s v="C1207"/>
    <s v="Siddharth Rao"/>
    <x v="1"/>
    <x v="1"/>
    <s v="Razer DeathAdder Essential"/>
    <n v="3"/>
    <n v="5400"/>
    <n v="0.15"/>
    <n v="702.5"/>
    <b v="0"/>
  </r>
  <r>
    <n v="100166"/>
    <x v="115"/>
    <s v="C1123"/>
    <s v="Siddharth Rao"/>
    <x v="3"/>
    <x v="1"/>
    <s v="Logitech G102"/>
    <n v="1"/>
    <n v="1500"/>
    <n v="0.05"/>
    <n v="222.58"/>
    <b v="0"/>
  </r>
  <r>
    <n v="100167"/>
    <x v="120"/>
    <s v="C1180"/>
    <s v="Meera Kapoor"/>
    <x v="6"/>
    <x v="1"/>
    <s v="Logitech G102"/>
    <n v="4"/>
    <n v="6000"/>
    <n v="0.15"/>
    <n v="1237.8599999999999"/>
    <b v="0"/>
  </r>
  <r>
    <n v="100168"/>
    <x v="19"/>
    <s v="C1219"/>
    <s v="Siddharth Rao"/>
    <x v="5"/>
    <x v="0"/>
    <s v="Apple MacBook Air"/>
    <n v="4"/>
    <n v="340000"/>
    <n v="0.15"/>
    <n v="58512.14"/>
    <b v="0"/>
  </r>
  <r>
    <n v="100169"/>
    <x v="72"/>
    <s v="C1158"/>
    <s v="Ananya Verma"/>
    <x v="2"/>
    <x v="0"/>
    <s v="HP Pavilion 14"/>
    <n v="1"/>
    <n v="62000"/>
    <n v="0.05"/>
    <n v="10885.56"/>
    <b v="0"/>
  </r>
  <r>
    <n v="100170"/>
    <x v="81"/>
    <s v="C1227"/>
    <s v="Riya Sen"/>
    <x v="8"/>
    <x v="1"/>
    <s v="Dell Optical Mouse"/>
    <n v="4"/>
    <n v="2000"/>
    <n v="0.05"/>
    <n v="345.56"/>
    <b v="0"/>
  </r>
  <r>
    <n v="100171"/>
    <x v="121"/>
    <s v="C1213"/>
    <s v="Siddharth Rao"/>
    <x v="6"/>
    <x v="3"/>
    <s v="Sony WH-CH520"/>
    <n v="4"/>
    <n v="18000"/>
    <n v="0.1"/>
    <n v="3567.26"/>
    <b v="0"/>
  </r>
  <r>
    <n v="100172"/>
    <x v="122"/>
    <s v="C1214"/>
    <s v="Ananya Verma"/>
    <x v="0"/>
    <x v="0"/>
    <s v="Lenovo IdeaPad 3"/>
    <n v="3"/>
    <n v="135000"/>
    <n v="0.05"/>
    <n v="18491.47"/>
    <b v="0"/>
  </r>
  <r>
    <n v="100173"/>
    <x v="63"/>
    <s v="C1113"/>
    <s v="Sneha Iyer"/>
    <x v="1"/>
    <x v="0"/>
    <s v="Apple MacBook Air"/>
    <n v="4"/>
    <n v="340000"/>
    <n v="0.15"/>
    <n v="61717.39"/>
    <b v="0"/>
  </r>
  <r>
    <n v="100174"/>
    <x v="123"/>
    <s v="C1108"/>
    <s v="Neha Gupta"/>
    <x v="3"/>
    <x v="0"/>
    <s v="ASUS Vivobook 15"/>
    <n v="2"/>
    <n v="100000"/>
    <n v="0.15"/>
    <n v="18271.98"/>
    <b v="0"/>
  </r>
  <r>
    <n v="100175"/>
    <x v="75"/>
    <s v="C1139"/>
    <s v="Sneha Iyer"/>
    <x v="8"/>
    <x v="2"/>
    <s v="Xiaomi Pad 7"/>
    <n v="4"/>
    <n v="112000"/>
    <n v="0.05"/>
    <n v="23197.65"/>
    <b v="0"/>
  </r>
  <r>
    <n v="100176"/>
    <x v="124"/>
    <s v="C1124"/>
    <s v="Karan Malhotra"/>
    <x v="3"/>
    <x v="0"/>
    <s v="HP Pavilion 14"/>
    <n v="1"/>
    <n v="62000"/>
    <n v="0.2"/>
    <n v="11953.85"/>
    <b v="0"/>
  </r>
  <r>
    <n v="100177"/>
    <x v="55"/>
    <s v="C1202"/>
    <s v="Aditya Nair"/>
    <x v="8"/>
    <x v="3"/>
    <s v="Sony WH-CH520"/>
    <n v="3"/>
    <n v="13500"/>
    <n v="0.2"/>
    <n v="2664.33"/>
    <b v="0"/>
  </r>
  <r>
    <n v="100178"/>
    <x v="116"/>
    <s v="C1121"/>
    <s v="Ananya Verma"/>
    <x v="2"/>
    <x v="3"/>
    <s v="boAt Rockerz 550"/>
    <n v="4"/>
    <n v="8000"/>
    <n v="0.2"/>
    <n v="1157.5"/>
    <b v="0"/>
  </r>
  <r>
    <n v="100179"/>
    <x v="17"/>
    <s v="C1103"/>
    <s v="Meera Kapoor"/>
    <x v="8"/>
    <x v="0"/>
    <s v="Lenovo IdeaPad 3"/>
    <n v="1"/>
    <n v="45000"/>
    <n v="0.2"/>
    <n v="4521.2700000000004"/>
    <b v="0"/>
  </r>
  <r>
    <n v="100180"/>
    <x v="113"/>
    <s v="C1128"/>
    <s v="Karan Malhotra"/>
    <x v="0"/>
    <x v="0"/>
    <s v="ASUS Vivobook 15"/>
    <n v="1"/>
    <n v="50000"/>
    <n v="0.1"/>
    <n v="9974.7900000000009"/>
    <b v="0"/>
  </r>
  <r>
    <n v="100181"/>
    <x v="12"/>
    <s v="C1208"/>
    <s v="Aditya Nair"/>
    <x v="0"/>
    <x v="0"/>
    <s v="Lenovo IdeaPad 3"/>
    <n v="3"/>
    <n v="135000"/>
    <n v="0.05"/>
    <n v="26861.42"/>
    <b v="0"/>
  </r>
  <r>
    <n v="100182"/>
    <x v="125"/>
    <s v="C1197"/>
    <s v="Priya Patel"/>
    <x v="4"/>
    <x v="0"/>
    <s v="Apple MacBook Air"/>
    <n v="2"/>
    <n v="170000"/>
    <n v="0.2"/>
    <n v="31140.53"/>
    <b v="0"/>
  </r>
  <r>
    <n v="100183"/>
    <x v="100"/>
    <s v="C1136"/>
    <s v="Pooja Joshi"/>
    <x v="0"/>
    <x v="0"/>
    <s v="Lenovo IdeaPad 3"/>
    <n v="2"/>
    <n v="90000"/>
    <n v="0.1"/>
    <n v="10050.870000000001"/>
    <b v="0"/>
  </r>
  <r>
    <n v="100184"/>
    <x v="107"/>
    <s v="C1174"/>
    <s v="Meera Kapoor"/>
    <x v="6"/>
    <x v="1"/>
    <s v="HP Wireless Mouse 200"/>
    <n v="2"/>
    <n v="1600"/>
    <n v="0.05"/>
    <n v="361.44"/>
    <b v="0"/>
  </r>
  <r>
    <n v="100185"/>
    <x v="126"/>
    <s v="C1169"/>
    <s v="Amit Kumar"/>
    <x v="8"/>
    <x v="3"/>
    <s v="Realme Buds Wireless 3"/>
    <n v="1"/>
    <n v="1800"/>
    <n v="0.15"/>
    <n v="358.16"/>
    <b v="0"/>
  </r>
  <r>
    <n v="100186"/>
    <x v="127"/>
    <s v="C1245"/>
    <s v="Rohan Desai"/>
    <x v="0"/>
    <x v="2"/>
    <s v="Lenovo Tab P12"/>
    <n v="2"/>
    <n v="52000"/>
    <n v="0.1"/>
    <n v="10253.89"/>
    <b v="0"/>
  </r>
  <r>
    <n v="100187"/>
    <x v="128"/>
    <s v="C1227"/>
    <s v="Riya Sen"/>
    <x v="2"/>
    <x v="1"/>
    <s v="Dell Optical Mouse"/>
    <n v="4"/>
    <n v="2000"/>
    <n v="0.15"/>
    <n v="252.58"/>
    <b v="0"/>
  </r>
  <r>
    <n v="100188"/>
    <x v="120"/>
    <s v="C1184"/>
    <s v="Varun Singh"/>
    <x v="3"/>
    <x v="3"/>
    <s v="Sony WH-CH520"/>
    <n v="4"/>
    <n v="18000"/>
    <n v="0.15"/>
    <n v="2980.38"/>
    <b v="0"/>
  </r>
  <r>
    <n v="100189"/>
    <x v="129"/>
    <s v="C1141"/>
    <s v="Amit Kumar"/>
    <x v="5"/>
    <x v="2"/>
    <s v="iPad 10th Gen"/>
    <n v="3"/>
    <n v="114000"/>
    <n v="0.1"/>
    <n v="17216.830000000002"/>
    <b v="0"/>
  </r>
  <r>
    <n v="100190"/>
    <x v="122"/>
    <s v="C1199"/>
    <s v="Karan Malhotra"/>
    <x v="3"/>
    <x v="0"/>
    <s v="Apple MacBook Air"/>
    <n v="1"/>
    <n v="85000"/>
    <n v="0.05"/>
    <n v="17447.93"/>
    <b v="0"/>
  </r>
  <r>
    <n v="100191"/>
    <x v="130"/>
    <s v="C1140"/>
    <s v="Meera Kapoor"/>
    <x v="4"/>
    <x v="1"/>
    <s v="Dell Optical Mouse"/>
    <n v="1"/>
    <n v="500"/>
    <n v="0.1"/>
    <n v="87.38"/>
    <b v="0"/>
  </r>
  <r>
    <n v="100192"/>
    <x v="131"/>
    <s v="C1133"/>
    <s v="Vikram Reddy"/>
    <x v="3"/>
    <x v="3"/>
    <s v="JBL Tune 510BT"/>
    <n v="1"/>
    <n v="3200"/>
    <n v="0.2"/>
    <n v="489.7"/>
    <b v="0"/>
  </r>
  <r>
    <n v="100193"/>
    <x v="132"/>
    <s v="C1116"/>
    <s v="Varun Singh"/>
    <x v="8"/>
    <x v="3"/>
    <s v="JBL Tune 510BT"/>
    <n v="3"/>
    <n v="9600"/>
    <n v="0.05"/>
    <n v="1742.88"/>
    <b v="0"/>
  </r>
  <r>
    <n v="100194"/>
    <x v="115"/>
    <s v="C1221"/>
    <s v="Pooja Joshi"/>
    <x v="4"/>
    <x v="3"/>
    <s v="boAt Rockerz 550"/>
    <n v="3"/>
    <n v="6000"/>
    <n v="0.05"/>
    <n v="899.74"/>
    <b v="0"/>
  </r>
  <r>
    <n v="100195"/>
    <x v="3"/>
    <s v="C1175"/>
    <s v="Karan Malhotra"/>
    <x v="8"/>
    <x v="0"/>
    <s v="Dell Inspiron 15"/>
    <n v="4"/>
    <n v="220000"/>
    <n v="0.2"/>
    <n v="22623.1"/>
    <b v="0"/>
  </r>
  <r>
    <n v="100196"/>
    <x v="133"/>
    <s v="C1186"/>
    <s v="Siddharth Rao"/>
    <x v="2"/>
    <x v="0"/>
    <s v="Apple MacBook Air"/>
    <n v="2"/>
    <n v="170000"/>
    <n v="0.1"/>
    <n v="27988.29"/>
    <b v="0"/>
  </r>
  <r>
    <n v="100197"/>
    <x v="58"/>
    <s v="C1216"/>
    <s v="Priya Patel"/>
    <x v="4"/>
    <x v="1"/>
    <s v="Dell Optical Mouse"/>
    <n v="3"/>
    <n v="1500"/>
    <n v="0.2"/>
    <n v="153.02000000000001"/>
    <b v="0"/>
  </r>
  <r>
    <n v="100198"/>
    <x v="7"/>
    <s v="C1205"/>
    <s v="Meera Kapoor"/>
    <x v="1"/>
    <x v="2"/>
    <s v="Lenovo Tab P12"/>
    <n v="1"/>
    <n v="26000"/>
    <n v="0.15"/>
    <n v="4907.8500000000004"/>
    <b v="0"/>
  </r>
  <r>
    <n v="100199"/>
    <x v="134"/>
    <s v="C1185"/>
    <s v="Priya Patel"/>
    <x v="6"/>
    <x v="3"/>
    <s v="Realme Buds Wireless 3"/>
    <n v="2"/>
    <n v="3600"/>
    <n v="0.15"/>
    <n v="750.19"/>
    <b v="0"/>
  </r>
  <r>
    <n v="100200"/>
    <x v="135"/>
    <s v="C1126"/>
    <s v="Vikram Reddy"/>
    <x v="6"/>
    <x v="3"/>
    <s v="Sony WH-CH520"/>
    <n v="1"/>
    <n v="4500"/>
    <n v="0.05"/>
    <n v="638.26"/>
    <b v="0"/>
  </r>
  <r>
    <n v="100201"/>
    <x v="136"/>
    <s v="C1156"/>
    <s v="Rohan Desai"/>
    <x v="8"/>
    <x v="3"/>
    <s v="JBL Tune 510BT"/>
    <n v="2"/>
    <n v="6400"/>
    <n v="0.05"/>
    <n v="1221.56"/>
    <b v="0"/>
  </r>
  <r>
    <n v="100202"/>
    <x v="137"/>
    <s v="C1130"/>
    <s v="Rahul Sharma"/>
    <x v="3"/>
    <x v="2"/>
    <s v="iPad 10th Gen"/>
    <n v="1"/>
    <n v="38000"/>
    <n v="0.15"/>
    <n v="4493.1000000000004"/>
    <b v="0"/>
  </r>
  <r>
    <n v="100203"/>
    <x v="138"/>
    <s v="C1233"/>
    <s v="Pooja Joshi"/>
    <x v="5"/>
    <x v="0"/>
    <s v="Lenovo IdeaPad 3"/>
    <n v="3"/>
    <n v="135000"/>
    <n v="0.15"/>
    <n v="23826.34"/>
    <b v="0"/>
  </r>
  <r>
    <n v="100204"/>
    <x v="139"/>
    <s v="C1197"/>
    <s v="Priya Patel"/>
    <x v="5"/>
    <x v="1"/>
    <s v="Logitech G102"/>
    <n v="1"/>
    <n v="1500"/>
    <n v="0.15"/>
    <n v="305.07"/>
    <b v="0"/>
  </r>
  <r>
    <n v="100205"/>
    <x v="140"/>
    <s v="C1111"/>
    <s v="Neha Gupta"/>
    <x v="1"/>
    <x v="3"/>
    <s v="Sony WH-CH520"/>
    <n v="4"/>
    <n v="18000"/>
    <n v="0.1"/>
    <n v="4030.78"/>
    <b v="0"/>
  </r>
  <r>
    <n v="100206"/>
    <x v="141"/>
    <s v="C1152"/>
    <s v="Varun Singh"/>
    <x v="4"/>
    <x v="0"/>
    <s v="HP Pavilion 14"/>
    <n v="2"/>
    <n v="124000"/>
    <n v="0.05"/>
    <n v="28387.31"/>
    <b v="0"/>
  </r>
  <r>
    <n v="100207"/>
    <x v="25"/>
    <s v="C1237"/>
    <s v="Siddharth Rao"/>
    <x v="1"/>
    <x v="3"/>
    <s v="Realme Buds Wireless 3"/>
    <n v="1"/>
    <n v="1800"/>
    <n v="0.15"/>
    <n v="192.46"/>
    <b v="0"/>
  </r>
  <r>
    <n v="100208"/>
    <x v="142"/>
    <s v="C1244"/>
    <s v="Rohan Desai"/>
    <x v="1"/>
    <x v="0"/>
    <s v="HP Pavilion 14"/>
    <n v="2"/>
    <n v="124000"/>
    <n v="0.15"/>
    <n v="23076.43"/>
    <b v="0"/>
  </r>
  <r>
    <n v="100209"/>
    <x v="143"/>
    <s v="C1221"/>
    <s v="Pooja Joshi"/>
    <x v="3"/>
    <x v="3"/>
    <s v="boAt Rockerz 550"/>
    <n v="2"/>
    <n v="4000"/>
    <n v="0.05"/>
    <n v="931.38"/>
    <b v="0"/>
  </r>
  <r>
    <n v="100210"/>
    <x v="132"/>
    <s v="C1145"/>
    <s v="Aditya Nair"/>
    <x v="5"/>
    <x v="2"/>
    <s v="Samsung Galaxy Tab S9"/>
    <n v="2"/>
    <n v="116000"/>
    <n v="0.1"/>
    <n v="22854.32"/>
    <b v="0"/>
  </r>
  <r>
    <n v="100211"/>
    <x v="56"/>
    <s v="C1163"/>
    <s v="Pooja Joshi"/>
    <x v="4"/>
    <x v="2"/>
    <s v="Samsung Galaxy Tab S9"/>
    <n v="2"/>
    <n v="116000"/>
    <n v="0.05"/>
    <n v="19793.87"/>
    <b v="0"/>
  </r>
  <r>
    <n v="100212"/>
    <x v="97"/>
    <s v="C1229"/>
    <s v="Riya Sen"/>
    <x v="2"/>
    <x v="1"/>
    <s v="Razer DeathAdder Essential"/>
    <n v="2"/>
    <n v="3600"/>
    <n v="0.05"/>
    <n v="624.4"/>
    <b v="0"/>
  </r>
  <r>
    <n v="100213"/>
    <x v="48"/>
    <s v="C1153"/>
    <s v="Pooja Joshi"/>
    <x v="3"/>
    <x v="0"/>
    <s v="Dell Inspiron 15"/>
    <n v="4"/>
    <n v="220000"/>
    <n v="0.05"/>
    <n v="28802.26"/>
    <b v="0"/>
  </r>
  <r>
    <n v="100214"/>
    <x v="144"/>
    <s v="C1206"/>
    <s v="Meera Kapoor"/>
    <x v="1"/>
    <x v="1"/>
    <s v="Logitech G102"/>
    <n v="2"/>
    <n v="3000"/>
    <n v="0.15"/>
    <n v="435.9"/>
    <b v="0"/>
  </r>
  <r>
    <n v="100215"/>
    <x v="115"/>
    <s v="C1150"/>
    <s v="Karan Malhotra"/>
    <x v="1"/>
    <x v="3"/>
    <s v="Sony WH-CH520"/>
    <n v="1"/>
    <n v="4500"/>
    <n v="0.2"/>
    <n v="729.9"/>
    <b v="0"/>
  </r>
  <r>
    <n v="100216"/>
    <x v="103"/>
    <s v="C1135"/>
    <s v="Karan Malhotra"/>
    <x v="2"/>
    <x v="3"/>
    <s v="Realme Buds Wireless 3"/>
    <n v="4"/>
    <n v="7200"/>
    <n v="0.2"/>
    <n v="1404.82"/>
    <b v="0"/>
  </r>
  <r>
    <n v="100217"/>
    <x v="145"/>
    <s v="C1214"/>
    <s v="Ananya Verma"/>
    <x v="1"/>
    <x v="2"/>
    <s v="Xiaomi Pad 7"/>
    <n v="4"/>
    <n v="112000"/>
    <n v="0.15"/>
    <n v="17104.13"/>
    <b v="0"/>
  </r>
  <r>
    <n v="100218"/>
    <x v="16"/>
    <s v="C1125"/>
    <s v="Aditya Nair"/>
    <x v="1"/>
    <x v="2"/>
    <s v="iPad 10th Gen"/>
    <n v="3"/>
    <n v="114000"/>
    <n v="0.15"/>
    <n v="14323.22"/>
    <b v="0"/>
  </r>
  <r>
    <n v="100219"/>
    <x v="146"/>
    <s v="C1128"/>
    <s v="Karan Malhotra"/>
    <x v="1"/>
    <x v="2"/>
    <s v="Samsung Galaxy Tab S9"/>
    <n v="2"/>
    <n v="116000"/>
    <n v="0.2"/>
    <n v="21141.78"/>
    <b v="0"/>
  </r>
  <r>
    <n v="100220"/>
    <x v="147"/>
    <s v="C1248"/>
    <s v="Ananya Verma"/>
    <x v="6"/>
    <x v="0"/>
    <s v="Dell Inspiron 15"/>
    <n v="1"/>
    <n v="55000"/>
    <n v="0.1"/>
    <n v="10433.629999999999"/>
    <b v="0"/>
  </r>
  <r>
    <n v="100221"/>
    <x v="148"/>
    <s v="C1110"/>
    <s v="Rohan Desai"/>
    <x v="3"/>
    <x v="1"/>
    <s v="Logitech G102"/>
    <n v="4"/>
    <n v="6000"/>
    <n v="0.1"/>
    <n v="1326.87"/>
    <b v="0"/>
  </r>
  <r>
    <n v="100222"/>
    <x v="13"/>
    <s v="C1139"/>
    <s v="Sneha Iyer"/>
    <x v="0"/>
    <x v="3"/>
    <s v="boAt Rockerz 550"/>
    <n v="2"/>
    <n v="4000"/>
    <n v="0.2"/>
    <n v="705.61"/>
    <b v="0"/>
  </r>
  <r>
    <n v="100223"/>
    <x v="80"/>
    <s v="C1110"/>
    <s v="Rohan Desai"/>
    <x v="3"/>
    <x v="3"/>
    <s v="JBL Tune 510BT"/>
    <n v="2"/>
    <n v="6400"/>
    <n v="0.05"/>
    <n v="1091.79"/>
    <b v="0"/>
  </r>
  <r>
    <n v="100224"/>
    <x v="137"/>
    <s v="C1212"/>
    <s v="Aditya Nair"/>
    <x v="2"/>
    <x v="0"/>
    <s v="Dell Inspiron 15"/>
    <n v="4"/>
    <n v="220000"/>
    <n v="0.2"/>
    <n v="38590.69"/>
    <b v="0"/>
  </r>
  <r>
    <n v="100225"/>
    <x v="149"/>
    <s v="C1138"/>
    <s v="Sneha Iyer"/>
    <x v="1"/>
    <x v="0"/>
    <s v="Lenovo IdeaPad 3"/>
    <n v="1"/>
    <n v="45000"/>
    <n v="0.05"/>
    <n v="5180.2299999999996"/>
    <b v="0"/>
  </r>
  <r>
    <n v="100226"/>
    <x v="150"/>
    <s v="C1153"/>
    <s v="Pooja Joshi"/>
    <x v="3"/>
    <x v="0"/>
    <s v="Lenovo IdeaPad 3"/>
    <n v="4"/>
    <n v="180000"/>
    <n v="0.2"/>
    <n v="21560.83"/>
    <b v="0"/>
  </r>
  <r>
    <n v="100227"/>
    <x v="12"/>
    <s v="C1197"/>
    <s v="Priya Patel"/>
    <x v="6"/>
    <x v="1"/>
    <s v="Logitech G102"/>
    <n v="4"/>
    <n v="6000"/>
    <n v="0.1"/>
    <n v="873.81"/>
    <b v="0"/>
  </r>
  <r>
    <n v="100228"/>
    <x v="64"/>
    <s v="C1154"/>
    <s v="Rohan Desai"/>
    <x v="5"/>
    <x v="2"/>
    <s v="iPad 10th Gen"/>
    <n v="4"/>
    <n v="152000"/>
    <n v="0.2"/>
    <n v="16100.07"/>
    <b v="0"/>
  </r>
  <r>
    <n v="100229"/>
    <x v="118"/>
    <s v="C1210"/>
    <s v="Karan Malhotra"/>
    <x v="2"/>
    <x v="0"/>
    <s v="Dell Inspiron 15"/>
    <n v="1"/>
    <n v="55000"/>
    <n v="0.05"/>
    <n v="9536.4500000000007"/>
    <b v="0"/>
  </r>
  <r>
    <n v="100230"/>
    <x v="92"/>
    <s v="C1249"/>
    <s v="Amit Kumar"/>
    <x v="8"/>
    <x v="0"/>
    <s v="Apple MacBook Air"/>
    <n v="2"/>
    <n v="170000"/>
    <n v="0.2"/>
    <n v="21427.49"/>
    <b v="0"/>
  </r>
  <r>
    <n v="100231"/>
    <x v="100"/>
    <s v="C1168"/>
    <s v="Pooja Joshi"/>
    <x v="3"/>
    <x v="3"/>
    <s v="JBL Tune 510BT"/>
    <n v="3"/>
    <n v="9600"/>
    <n v="0.1"/>
    <n v="2152.42"/>
    <b v="0"/>
  </r>
  <r>
    <n v="100232"/>
    <x v="151"/>
    <s v="C1155"/>
    <s v="Ananya Verma"/>
    <x v="8"/>
    <x v="3"/>
    <s v="boAt Rockerz 550"/>
    <n v="1"/>
    <n v="2000"/>
    <n v="0.15"/>
    <n v="286.14999999999998"/>
    <b v="0"/>
  </r>
  <r>
    <n v="100233"/>
    <x v="152"/>
    <s v="C1132"/>
    <s v="Amit Kumar"/>
    <x v="1"/>
    <x v="3"/>
    <s v="Realme Buds Wireless 3"/>
    <n v="1"/>
    <n v="1800"/>
    <n v="0.1"/>
    <n v="387.82"/>
    <b v="0"/>
  </r>
  <r>
    <n v="100234"/>
    <x v="153"/>
    <s v="C1135"/>
    <s v="Karan Malhotra"/>
    <x v="6"/>
    <x v="0"/>
    <s v="Dell Inspiron 15"/>
    <n v="2"/>
    <n v="110000"/>
    <n v="0.1"/>
    <n v="19885.650000000001"/>
    <b v="0"/>
  </r>
  <r>
    <n v="100235"/>
    <x v="12"/>
    <s v="C1247"/>
    <s v="Sneha Iyer"/>
    <x v="6"/>
    <x v="0"/>
    <s v="Lenovo IdeaPad 3"/>
    <n v="1"/>
    <n v="45000"/>
    <n v="0.2"/>
    <n v="7005.58"/>
    <b v="0"/>
  </r>
  <r>
    <n v="100236"/>
    <x v="154"/>
    <s v="C1180"/>
    <s v="Meera Kapoor"/>
    <x v="3"/>
    <x v="2"/>
    <s v="Lenovo Tab P12"/>
    <n v="1"/>
    <n v="26000"/>
    <n v="0.1"/>
    <n v="5552.6"/>
    <b v="0"/>
  </r>
  <r>
    <n v="100237"/>
    <x v="63"/>
    <s v="C1208"/>
    <s v="Aditya Nair"/>
    <x v="2"/>
    <x v="2"/>
    <s v="Xiaomi Pad 7"/>
    <n v="4"/>
    <n v="112000"/>
    <n v="0.2"/>
    <n v="11072.54"/>
    <b v="0"/>
  </r>
  <r>
    <n v="100238"/>
    <x v="155"/>
    <s v="C1172"/>
    <s v="Varun Singh"/>
    <x v="2"/>
    <x v="1"/>
    <s v="HP Wireless Mouse 200"/>
    <n v="1"/>
    <n v="800"/>
    <n v="0.05"/>
    <n v="113.8"/>
    <b v="0"/>
  </r>
  <r>
    <n v="100239"/>
    <x v="156"/>
    <s v="C1139"/>
    <s v="Sneha Iyer"/>
    <x v="6"/>
    <x v="0"/>
    <s v="ASUS Vivobook 15"/>
    <n v="2"/>
    <n v="100000"/>
    <n v="0.1"/>
    <n v="18750.73"/>
    <b v="0"/>
  </r>
  <r>
    <n v="100240"/>
    <x v="122"/>
    <s v="C1116"/>
    <s v="Varun Singh"/>
    <x v="2"/>
    <x v="0"/>
    <s v="Apple MacBook Air"/>
    <n v="4"/>
    <n v="340000"/>
    <n v="0.05"/>
    <n v="68957.52"/>
    <b v="0"/>
  </r>
  <r>
    <n v="100241"/>
    <x v="157"/>
    <s v="C1228"/>
    <s v="Meera Kapoor"/>
    <x v="6"/>
    <x v="3"/>
    <s v="JBL Tune 510BT"/>
    <n v="1"/>
    <n v="3200"/>
    <n v="0.15"/>
    <n v="441.79"/>
    <b v="0"/>
  </r>
  <r>
    <n v="100242"/>
    <x v="158"/>
    <s v="C1160"/>
    <s v="Neha Gupta"/>
    <x v="3"/>
    <x v="1"/>
    <s v="HP Wireless Mouse 200"/>
    <n v="1"/>
    <n v="800"/>
    <n v="0.2"/>
    <n v="112.58"/>
    <b v="0"/>
  </r>
  <r>
    <n v="100243"/>
    <x v="58"/>
    <s v="C1203"/>
    <s v="Varun Singh"/>
    <x v="0"/>
    <x v="1"/>
    <s v="HP Wireless Mouse 200"/>
    <n v="2"/>
    <n v="1600"/>
    <n v="0.2"/>
    <n v="220.32"/>
    <b v="0"/>
  </r>
  <r>
    <n v="100244"/>
    <x v="159"/>
    <s v="C1141"/>
    <s v="Amit Kumar"/>
    <x v="6"/>
    <x v="2"/>
    <s v="Lenovo Tab P12"/>
    <n v="3"/>
    <n v="78000"/>
    <n v="0.1"/>
    <n v="16535.990000000002"/>
    <b v="0"/>
  </r>
  <r>
    <n v="100245"/>
    <x v="160"/>
    <s v="C1124"/>
    <s v="Karan Malhotra"/>
    <x v="8"/>
    <x v="2"/>
    <s v="Lenovo Tab P12"/>
    <n v="1"/>
    <n v="26000"/>
    <n v="0.05"/>
    <n v="3783.8"/>
    <b v="0"/>
  </r>
  <r>
    <n v="100246"/>
    <x v="161"/>
    <s v="C1138"/>
    <s v="Sneha Iyer"/>
    <x v="2"/>
    <x v="3"/>
    <s v="JBL Tune 510BT"/>
    <n v="4"/>
    <n v="12800"/>
    <n v="0.15"/>
    <n v="1352.01"/>
    <b v="0"/>
  </r>
  <r>
    <n v="100247"/>
    <x v="81"/>
    <s v="C1134"/>
    <s v="Riya Sen"/>
    <x v="6"/>
    <x v="2"/>
    <s v="Xiaomi Pad 7"/>
    <n v="3"/>
    <n v="84000"/>
    <n v="0.2"/>
    <n v="10643.23"/>
    <b v="0"/>
  </r>
  <r>
    <n v="100248"/>
    <x v="162"/>
    <s v="C1230"/>
    <s v="Rahul Sharma"/>
    <x v="6"/>
    <x v="1"/>
    <s v="Logitech G102"/>
    <n v="1"/>
    <n v="1500"/>
    <n v="0.15"/>
    <n v="168.76"/>
    <b v="0"/>
  </r>
  <r>
    <n v="100249"/>
    <x v="158"/>
    <s v="C1207"/>
    <s v="Siddharth Rao"/>
    <x v="3"/>
    <x v="1"/>
    <s v="Dell Optical Mouse"/>
    <n v="3"/>
    <n v="1500"/>
    <n v="0.05"/>
    <n v="305.63"/>
    <b v="0"/>
  </r>
  <r>
    <n v="100250"/>
    <x v="14"/>
    <s v="C1201"/>
    <s v="Amit Kumar"/>
    <x v="2"/>
    <x v="0"/>
    <s v="HP Pavilion 14"/>
    <n v="4"/>
    <n v="248000"/>
    <n v="0.15"/>
    <n v="39427.129999999997"/>
    <b v="0"/>
  </r>
  <r>
    <n v="100251"/>
    <x v="163"/>
    <s v="C1197"/>
    <s v="Priya Patel"/>
    <x v="0"/>
    <x v="0"/>
    <s v="Apple MacBook Air"/>
    <n v="4"/>
    <n v="340000"/>
    <n v="0.2"/>
    <n v="47676.07"/>
    <b v="0"/>
  </r>
  <r>
    <n v="100252"/>
    <x v="92"/>
    <s v="C1111"/>
    <s v="Neha Gupta"/>
    <x v="3"/>
    <x v="0"/>
    <s v="Apple MacBook Air"/>
    <n v="2"/>
    <n v="170000"/>
    <n v="0.05"/>
    <n v="19380.240000000002"/>
    <b v="0"/>
  </r>
  <r>
    <n v="100253"/>
    <x v="164"/>
    <s v="C1118"/>
    <s v="Siddharth Rao"/>
    <x v="0"/>
    <x v="0"/>
    <s v="Lenovo IdeaPad 3"/>
    <n v="2"/>
    <n v="90000"/>
    <n v="0.1"/>
    <n v="10295.299999999999"/>
    <b v="0"/>
  </r>
  <r>
    <n v="100254"/>
    <x v="165"/>
    <s v="C1200"/>
    <s v="Priya Patel"/>
    <x v="5"/>
    <x v="2"/>
    <s v="Lenovo Tab P12"/>
    <n v="3"/>
    <n v="78000"/>
    <n v="0.15"/>
    <n v="10577.89"/>
    <b v="0"/>
  </r>
  <r>
    <n v="100255"/>
    <x v="166"/>
    <s v="C1143"/>
    <s v="Karan Malhotra"/>
    <x v="3"/>
    <x v="0"/>
    <s v="Lenovo IdeaPad 3"/>
    <n v="3"/>
    <n v="135000"/>
    <n v="0.2"/>
    <n v="12980.69"/>
    <b v="0"/>
  </r>
  <r>
    <n v="100256"/>
    <x v="167"/>
    <s v="C1192"/>
    <s v="Varun Gupta"/>
    <x v="4"/>
    <x v="1"/>
    <s v="Razer DeathAdder Essential"/>
    <n v="1"/>
    <n v="2040"/>
    <n v="0.15"/>
    <n v="352.74"/>
    <b v="0"/>
  </r>
  <r>
    <n v="100257"/>
    <x v="168"/>
    <s v="C1116"/>
    <s v="Varun Singh"/>
    <x v="4"/>
    <x v="1"/>
    <s v="Dell Optical Mouse"/>
    <n v="3"/>
    <n v="1500"/>
    <n v="0.05"/>
    <n v="328.17"/>
    <b v="0"/>
  </r>
  <r>
    <n v="100258"/>
    <x v="169"/>
    <s v="C1173"/>
    <s v="Karan Malhotra"/>
    <x v="2"/>
    <x v="1"/>
    <s v="Razer DeathAdder Essential"/>
    <n v="2"/>
    <n v="3600"/>
    <n v="0.1"/>
    <n v="525.80999999999995"/>
    <b v="0"/>
  </r>
  <r>
    <n v="100259"/>
    <x v="170"/>
    <s v="C1156"/>
    <s v="Rohan Desai"/>
    <x v="2"/>
    <x v="0"/>
    <s v="Dell Inspiron 15"/>
    <n v="3"/>
    <n v="165000"/>
    <n v="0.1"/>
    <n v="20240.009999999998"/>
    <b v="0"/>
  </r>
  <r>
    <n v="100260"/>
    <x v="124"/>
    <s v="C1154"/>
    <s v="Rohan Desai"/>
    <x v="0"/>
    <x v="3"/>
    <s v="JBL Tune 510BT"/>
    <n v="3"/>
    <n v="9600"/>
    <n v="0.1"/>
    <n v="1492.54"/>
    <b v="0"/>
  </r>
  <r>
    <n v="100261"/>
    <x v="171"/>
    <s v="C1146"/>
    <s v="Aditya Nair"/>
    <x v="0"/>
    <x v="3"/>
    <s v="Realme Buds Wireless 3"/>
    <n v="2"/>
    <n v="3600"/>
    <n v="0.05"/>
    <n v="651.58000000000004"/>
    <b v="0"/>
  </r>
  <r>
    <n v="100262"/>
    <x v="172"/>
    <s v="C1111"/>
    <s v="Neha Gupta"/>
    <x v="2"/>
    <x v="3"/>
    <s v="boAt Rockerz 550"/>
    <n v="4"/>
    <n v="8000"/>
    <n v="0.15"/>
    <n v="1182.3900000000001"/>
    <b v="0"/>
  </r>
  <r>
    <n v="100263"/>
    <x v="134"/>
    <s v="C1161"/>
    <s v="Priya Patel"/>
    <x v="2"/>
    <x v="2"/>
    <s v="Samsung Galaxy Tab S9"/>
    <n v="4"/>
    <n v="232000"/>
    <n v="0.15"/>
    <n v="30560.59"/>
    <b v="0"/>
  </r>
  <r>
    <n v="100264"/>
    <x v="106"/>
    <s v="C1179"/>
    <s v="Siddharth Rao"/>
    <x v="2"/>
    <x v="2"/>
    <s v="Xiaomi Pad 7"/>
    <n v="1"/>
    <n v="28000"/>
    <n v="0.15"/>
    <n v="4800.37"/>
    <b v="0"/>
  </r>
  <r>
    <n v="100265"/>
    <x v="50"/>
    <s v="C1182"/>
    <s v="Aditya Nair"/>
    <x v="0"/>
    <x v="2"/>
    <s v="Xiaomi Pad 7"/>
    <n v="1"/>
    <n v="28000"/>
    <n v="0.2"/>
    <n v="5452.1"/>
    <b v="0"/>
  </r>
  <r>
    <n v="100266"/>
    <x v="86"/>
    <s v="C1107"/>
    <s v="Ananya Verma"/>
    <x v="2"/>
    <x v="1"/>
    <s v="Logitech G102"/>
    <n v="3"/>
    <n v="4500"/>
    <n v="0.05"/>
    <n v="824.27"/>
    <b v="0"/>
  </r>
  <r>
    <n v="100267"/>
    <x v="173"/>
    <s v="C1248"/>
    <s v="Ananya Verma"/>
    <x v="2"/>
    <x v="0"/>
    <s v="ASUS Vivobook 15"/>
    <n v="3"/>
    <n v="150000"/>
    <n v="0.05"/>
    <n v="20287.95"/>
    <b v="0"/>
  </r>
  <r>
    <n v="100268"/>
    <x v="174"/>
    <s v="C1180"/>
    <s v="Meera Kapoor"/>
    <x v="5"/>
    <x v="0"/>
    <s v="ASUS Vivobook 15"/>
    <n v="3"/>
    <n v="150000"/>
    <n v="0.2"/>
    <n v="16880.79"/>
    <b v="0"/>
  </r>
  <r>
    <n v="100269"/>
    <x v="175"/>
    <s v="C1217"/>
    <s v="Meera Kapoor"/>
    <x v="1"/>
    <x v="1"/>
    <s v="Dell Optical Mouse"/>
    <n v="3"/>
    <n v="1500"/>
    <n v="0.15"/>
    <n v="286.18"/>
    <b v="0"/>
  </r>
  <r>
    <n v="100270"/>
    <x v="42"/>
    <s v="C1124"/>
    <s v="Karan Malhotra"/>
    <x v="4"/>
    <x v="1"/>
    <s v="HP Wireless Mouse 200"/>
    <n v="2"/>
    <n v="1600"/>
    <n v="0.15"/>
    <n v="313.56"/>
    <b v="0"/>
  </r>
  <r>
    <n v="100271"/>
    <x v="176"/>
    <s v="C1188"/>
    <s v="Priya Patel"/>
    <x v="8"/>
    <x v="0"/>
    <s v="ASUS Vivobook 15"/>
    <n v="2"/>
    <n v="100000"/>
    <n v="0.15"/>
    <n v="10773.44"/>
    <b v="0"/>
  </r>
  <r>
    <n v="100272"/>
    <x v="177"/>
    <s v="C1111"/>
    <s v="Neha Gupta"/>
    <x v="4"/>
    <x v="0"/>
    <s v="Apple MacBook Air"/>
    <n v="2"/>
    <n v="170000"/>
    <n v="0.1"/>
    <n v="31589.759999999998"/>
    <b v="0"/>
  </r>
  <r>
    <n v="100273"/>
    <x v="41"/>
    <s v="C1242"/>
    <s v="Rahul Sharma"/>
    <x v="1"/>
    <x v="0"/>
    <s v="Dell Inspiron 15"/>
    <n v="1"/>
    <n v="55000"/>
    <n v="0.15"/>
    <n v="10257.58"/>
    <b v="0"/>
  </r>
  <r>
    <n v="100274"/>
    <x v="178"/>
    <s v="C1158"/>
    <s v="Ananya Verma"/>
    <x v="8"/>
    <x v="3"/>
    <s v="JBL Tune 510BT"/>
    <n v="1"/>
    <n v="3200"/>
    <n v="0.15"/>
    <n v="520.64"/>
    <b v="0"/>
  </r>
  <r>
    <n v="100275"/>
    <x v="179"/>
    <s v="C1208"/>
    <s v="Aditya Nair"/>
    <x v="3"/>
    <x v="0"/>
    <s v="Dell Inspiron 15"/>
    <n v="2"/>
    <n v="110000"/>
    <n v="0.15"/>
    <n v="17378.61"/>
    <b v="0"/>
  </r>
  <r>
    <n v="100276"/>
    <x v="180"/>
    <s v="C1125"/>
    <s v="Aditya Nair"/>
    <x v="2"/>
    <x v="3"/>
    <s v="Realme Buds Wireless 3"/>
    <n v="4"/>
    <n v="7200"/>
    <n v="0.1"/>
    <n v="791.13"/>
    <b v="0"/>
  </r>
  <r>
    <n v="100277"/>
    <x v="141"/>
    <s v="C1146"/>
    <s v="Aditya Nair"/>
    <x v="1"/>
    <x v="1"/>
    <s v="Dell Optical Mouse"/>
    <n v="3"/>
    <n v="1500"/>
    <n v="0.2"/>
    <n v="268.42"/>
    <b v="0"/>
  </r>
  <r>
    <n v="100278"/>
    <x v="181"/>
    <s v="C1131"/>
    <s v="Karan Malhotra"/>
    <x v="5"/>
    <x v="0"/>
    <s v="HP Pavilion 14"/>
    <n v="1"/>
    <n v="62000"/>
    <n v="0.15"/>
    <n v="7933.8"/>
    <b v="0"/>
  </r>
  <r>
    <n v="100279"/>
    <x v="38"/>
    <s v="C1109"/>
    <s v="Amit Kumar"/>
    <x v="3"/>
    <x v="1"/>
    <s v="Logitech G102"/>
    <n v="3"/>
    <n v="4500"/>
    <n v="0.1"/>
    <n v="773.7"/>
    <b v="0"/>
  </r>
  <r>
    <n v="100280"/>
    <x v="182"/>
    <s v="C1115"/>
    <s v="Ananya Verma"/>
    <x v="2"/>
    <x v="0"/>
    <s v="Dell Inspiron 15"/>
    <n v="1"/>
    <n v="55000"/>
    <n v="0.05"/>
    <n v="8367.76"/>
    <b v="0"/>
  </r>
  <r>
    <n v="100281"/>
    <x v="183"/>
    <s v="C1244"/>
    <s v="Rohan Desai"/>
    <x v="0"/>
    <x v="3"/>
    <s v="Sony WH-CH520"/>
    <n v="4"/>
    <n v="18000"/>
    <n v="0.05"/>
    <n v="4189.4399999999996"/>
    <b v="0"/>
  </r>
  <r>
    <n v="100282"/>
    <x v="184"/>
    <s v="C1125"/>
    <s v="Aditya Nair"/>
    <x v="6"/>
    <x v="2"/>
    <s v="iPad 10th Gen"/>
    <n v="3"/>
    <n v="114000"/>
    <n v="0.2"/>
    <n v="13632.08"/>
    <b v="0"/>
  </r>
  <r>
    <n v="100283"/>
    <x v="165"/>
    <s v="C1185"/>
    <s v="Priya Patel"/>
    <x v="1"/>
    <x v="1"/>
    <s v="Razer DeathAdder Essential"/>
    <n v="1"/>
    <n v="1800"/>
    <n v="0.2"/>
    <n v="299.56"/>
    <b v="0"/>
  </r>
  <r>
    <n v="100284"/>
    <x v="185"/>
    <s v="C1234"/>
    <s v="Siddharth Rao"/>
    <x v="0"/>
    <x v="3"/>
    <s v="JBL Tune 510BT"/>
    <n v="2"/>
    <n v="6400"/>
    <n v="0.2"/>
    <n v="1157.8"/>
    <b v="0"/>
  </r>
  <r>
    <n v="100285"/>
    <x v="166"/>
    <s v="C1113"/>
    <s v="Sneha Iyer"/>
    <x v="1"/>
    <x v="0"/>
    <s v="Apple MacBook Air"/>
    <n v="4"/>
    <n v="340000"/>
    <n v="0.15"/>
    <n v="46434.27"/>
    <b v="0"/>
  </r>
  <r>
    <n v="100286"/>
    <x v="140"/>
    <s v="C1178"/>
    <s v="Riya Sen"/>
    <x v="5"/>
    <x v="1"/>
    <s v="HP Wireless Mouse 200"/>
    <n v="2"/>
    <n v="1600"/>
    <n v="0.2"/>
    <n v="316.99"/>
    <b v="0"/>
  </r>
  <r>
    <n v="100287"/>
    <x v="125"/>
    <s v="C1216"/>
    <s v="Priya Patel"/>
    <x v="1"/>
    <x v="1"/>
    <s v="Razer DeathAdder Essential"/>
    <n v="4"/>
    <n v="7200"/>
    <n v="0.2"/>
    <n v="813.12"/>
    <b v="0"/>
  </r>
  <r>
    <n v="100288"/>
    <x v="186"/>
    <s v="C1106"/>
    <s v="Riya Sen"/>
    <x v="0"/>
    <x v="0"/>
    <s v="ASUS Vivobook 15"/>
    <n v="4"/>
    <n v="200000"/>
    <n v="0.1"/>
    <n v="30741.96"/>
    <b v="0"/>
  </r>
  <r>
    <n v="100289"/>
    <x v="31"/>
    <s v="C1236"/>
    <s v="Karan Malhotra"/>
    <x v="5"/>
    <x v="0"/>
    <s v="Dell Inspiron 15"/>
    <n v="4"/>
    <n v="220000"/>
    <n v="0.05"/>
    <n v="50483.8"/>
    <b v="0"/>
  </r>
  <r>
    <n v="100290"/>
    <x v="60"/>
    <s v="C1214"/>
    <s v="Ananya Verma"/>
    <x v="8"/>
    <x v="0"/>
    <s v="ASUS Vivobook 15"/>
    <n v="4"/>
    <n v="200000"/>
    <n v="0.1"/>
    <n v="35768.81"/>
    <b v="0"/>
  </r>
  <r>
    <n v="100291"/>
    <x v="187"/>
    <s v="C1171"/>
    <s v="Priya Patel"/>
    <x v="4"/>
    <x v="3"/>
    <s v="JBL Tune 510BT"/>
    <n v="1"/>
    <n v="3200"/>
    <n v="0.1"/>
    <n v="377.02"/>
    <b v="0"/>
  </r>
  <r>
    <n v="100292"/>
    <x v="188"/>
    <s v="C1158"/>
    <s v="Ananya Verma"/>
    <x v="2"/>
    <x v="0"/>
    <s v="Dell Inspiron 15"/>
    <n v="2"/>
    <n v="110000"/>
    <n v="0.05"/>
    <n v="13519.63"/>
    <b v="0"/>
  </r>
  <r>
    <n v="100293"/>
    <x v="189"/>
    <s v="C1181"/>
    <s v="Rohan Desai"/>
    <x v="1"/>
    <x v="2"/>
    <s v="iPad 10th Gen"/>
    <n v="3"/>
    <n v="114000"/>
    <n v="0.2"/>
    <n v="22587.18"/>
    <b v="0"/>
  </r>
  <r>
    <n v="100294"/>
    <x v="162"/>
    <s v="C1215"/>
    <s v="Riya Sen"/>
    <x v="2"/>
    <x v="3"/>
    <s v="Sony WH-CH520"/>
    <n v="3"/>
    <n v="13500"/>
    <n v="0.15"/>
    <n v="1550.33"/>
    <b v="0"/>
  </r>
  <r>
    <n v="100295"/>
    <x v="166"/>
    <s v="C1245"/>
    <s v="Rohan Desai"/>
    <x v="6"/>
    <x v="1"/>
    <s v="HP Wireless Mouse 200"/>
    <n v="4"/>
    <n v="3200"/>
    <n v="0.1"/>
    <n v="570.65"/>
    <b v="0"/>
  </r>
  <r>
    <n v="100296"/>
    <x v="190"/>
    <s v="C1202"/>
    <s v="Aditya Nair"/>
    <x v="0"/>
    <x v="3"/>
    <s v="boAt Rockerz 550"/>
    <n v="4"/>
    <n v="8000"/>
    <n v="0.1"/>
    <n v="1745.03"/>
    <b v="0"/>
  </r>
  <r>
    <n v="100297"/>
    <x v="74"/>
    <s v="C1116"/>
    <s v="Varun Singh"/>
    <x v="2"/>
    <x v="0"/>
    <s v="ASUS Vivobook 15"/>
    <n v="4"/>
    <n v="200000"/>
    <n v="0.1"/>
    <n v="32132.73"/>
    <b v="0"/>
  </r>
  <r>
    <n v="100298"/>
    <x v="50"/>
    <s v="C1113"/>
    <s v="Sneha Iyer"/>
    <x v="0"/>
    <x v="2"/>
    <s v="Xiaomi Pad 7"/>
    <n v="2"/>
    <n v="56000"/>
    <n v="0.1"/>
    <n v="9637.09"/>
    <b v="0"/>
  </r>
  <r>
    <n v="100299"/>
    <x v="99"/>
    <s v="C1207"/>
    <s v="Siddharth Rao"/>
    <x v="2"/>
    <x v="3"/>
    <s v="Sony WH-CH520"/>
    <n v="1"/>
    <n v="4500"/>
    <n v="0.05"/>
    <n v="618.49"/>
    <b v="0"/>
  </r>
  <r>
    <n v="100300"/>
    <x v="191"/>
    <s v="C1144"/>
    <s v="Meera Kapoor"/>
    <x v="4"/>
    <x v="3"/>
    <s v="boAt Rockerz 550"/>
    <n v="1"/>
    <n v="2000"/>
    <n v="0.15"/>
    <n v="318.85000000000002"/>
    <b v="0"/>
  </r>
  <r>
    <n v="100301"/>
    <x v="81"/>
    <s v="C1197"/>
    <s v="Priya Patel"/>
    <x v="4"/>
    <x v="1"/>
    <s v="HP Wireless Mouse 200"/>
    <n v="3"/>
    <n v="2400"/>
    <n v="0.1"/>
    <n v="404.31"/>
    <b v="0"/>
  </r>
  <r>
    <n v="100302"/>
    <x v="18"/>
    <s v="C1230"/>
    <s v="Rahul Sharma"/>
    <x v="5"/>
    <x v="1"/>
    <s v="Dell Optical Mouse"/>
    <n v="2"/>
    <n v="1000"/>
    <n v="0.2"/>
    <n v="153.16"/>
    <b v="0"/>
  </r>
  <r>
    <n v="100303"/>
    <x v="141"/>
    <s v="C1136"/>
    <s v="Pooja Joshi"/>
    <x v="4"/>
    <x v="2"/>
    <s v="Samsung Galaxy Tab S9"/>
    <n v="2"/>
    <n v="116000"/>
    <n v="0.15"/>
    <n v="19463.32"/>
    <b v="0"/>
  </r>
  <r>
    <n v="100304"/>
    <x v="85"/>
    <s v="C1207"/>
    <s v="Siddharth Rao"/>
    <x v="5"/>
    <x v="1"/>
    <s v="Logitech G102"/>
    <n v="3"/>
    <n v="4500"/>
    <n v="0.1"/>
    <n v="521.98"/>
    <b v="0"/>
  </r>
  <r>
    <n v="100305"/>
    <x v="114"/>
    <s v="C1138"/>
    <s v="Sneha Iyer"/>
    <x v="4"/>
    <x v="0"/>
    <s v="Lenovo IdeaPad 3"/>
    <n v="4"/>
    <n v="180000"/>
    <n v="0.15"/>
    <n v="30764.37"/>
    <b v="0"/>
  </r>
  <r>
    <n v="100306"/>
    <x v="53"/>
    <s v="C1114"/>
    <s v="Siddharth Rao"/>
    <x v="4"/>
    <x v="1"/>
    <s v="Razer DeathAdder Essential"/>
    <n v="2"/>
    <n v="3600"/>
    <n v="0.05"/>
    <n v="417.12"/>
    <b v="0"/>
  </r>
  <r>
    <n v="100307"/>
    <x v="21"/>
    <s v="C1219"/>
    <s v="Siddharth Rao"/>
    <x v="4"/>
    <x v="1"/>
    <s v="Razer DeathAdder Essential"/>
    <n v="3"/>
    <n v="5400"/>
    <n v="0.15"/>
    <n v="954.18"/>
    <b v="0"/>
  </r>
  <r>
    <n v="100308"/>
    <x v="192"/>
    <s v="C1103"/>
    <s v="Meera Kapoor"/>
    <x v="0"/>
    <x v="0"/>
    <s v="ASUS Vivobook 15"/>
    <n v="3"/>
    <n v="150000"/>
    <n v="0.2"/>
    <n v="18292.580000000002"/>
    <b v="0"/>
  </r>
  <r>
    <n v="100309"/>
    <x v="193"/>
    <s v="C1192"/>
    <s v="Amit Kumar"/>
    <x v="1"/>
    <x v="2"/>
    <s v="Xiaomi Pad 7"/>
    <n v="4"/>
    <n v="112000"/>
    <n v="0.05"/>
    <n v="14387.26"/>
    <b v="0"/>
  </r>
  <r>
    <n v="100310"/>
    <x v="194"/>
    <s v="C1240"/>
    <s v="Sneha Iyer"/>
    <x v="5"/>
    <x v="0"/>
    <s v="HP Pavilion 14"/>
    <n v="1"/>
    <n v="62000"/>
    <n v="0.15"/>
    <n v="7783.85"/>
    <b v="0"/>
  </r>
  <r>
    <n v="100311"/>
    <x v="195"/>
    <s v="C1115"/>
    <s v="Ananya Verma"/>
    <x v="2"/>
    <x v="1"/>
    <s v="Dell Optical Mouse"/>
    <n v="1"/>
    <n v="500"/>
    <n v="0.15"/>
    <n v="93.67"/>
    <b v="0"/>
  </r>
  <r>
    <n v="100312"/>
    <x v="196"/>
    <s v="C1207"/>
    <s v="Siddharth Rao"/>
    <x v="4"/>
    <x v="3"/>
    <s v="Sony WH-CH520"/>
    <n v="2"/>
    <n v="9000"/>
    <n v="0.05"/>
    <n v="1082.1199999999999"/>
    <b v="0"/>
  </r>
  <r>
    <n v="100313"/>
    <x v="174"/>
    <s v="C1225"/>
    <s v="Riya Sen"/>
    <x v="0"/>
    <x v="0"/>
    <s v="ASUS Vivobook 15"/>
    <n v="1"/>
    <n v="50000"/>
    <n v="0.2"/>
    <n v="9668.59"/>
    <b v="0"/>
  </r>
  <r>
    <n v="100314"/>
    <x v="167"/>
    <s v="C1154"/>
    <s v="Rohan Desai"/>
    <x v="0"/>
    <x v="0"/>
    <s v="Lenovo IdeaPad 3"/>
    <n v="3"/>
    <n v="135000"/>
    <n v="0.05"/>
    <n v="19066.009999999998"/>
    <b v="0"/>
  </r>
  <r>
    <n v="100315"/>
    <x v="197"/>
    <s v="C1133"/>
    <s v="Vikram Reddy"/>
    <x v="0"/>
    <x v="0"/>
    <s v="Apple MacBook Air"/>
    <n v="2"/>
    <n v="170000"/>
    <n v="0.1"/>
    <n v="33066.83"/>
    <b v="0"/>
  </r>
  <r>
    <n v="100316"/>
    <x v="96"/>
    <s v="C1112"/>
    <s v="Sneha Iyer"/>
    <x v="5"/>
    <x v="2"/>
    <s v="Lenovo Tab P12"/>
    <n v="2"/>
    <n v="52000"/>
    <n v="0.05"/>
    <n v="9126.42"/>
    <b v="0"/>
  </r>
  <r>
    <n v="100317"/>
    <x v="198"/>
    <s v="C1240"/>
    <s v="Sneha Iyer"/>
    <x v="1"/>
    <x v="1"/>
    <s v="Razer DeathAdder Essential"/>
    <n v="2"/>
    <n v="3600"/>
    <n v="0.15"/>
    <n v="721.26"/>
    <b v="0"/>
  </r>
  <r>
    <n v="100318"/>
    <x v="98"/>
    <s v="C1117"/>
    <s v="Siddharth Rao"/>
    <x v="5"/>
    <x v="0"/>
    <s v="ASUS Vivobook 15"/>
    <n v="4"/>
    <n v="200000"/>
    <n v="0.15"/>
    <n v="26117.53"/>
    <b v="0"/>
  </r>
  <r>
    <n v="100319"/>
    <x v="199"/>
    <s v="C1195"/>
    <s v="Riya Sen"/>
    <x v="2"/>
    <x v="0"/>
    <s v="Dell Inspiron 15"/>
    <n v="1"/>
    <n v="55000"/>
    <n v="0.15"/>
    <n v="5665.03"/>
    <b v="0"/>
  </r>
  <r>
    <n v="100320"/>
    <x v="137"/>
    <s v="C1222"/>
    <s v="Karan Malhotra"/>
    <x v="1"/>
    <x v="3"/>
    <s v="Realme Buds Wireless 3"/>
    <n v="1"/>
    <n v="1800"/>
    <n v="0.15"/>
    <n v="310.44"/>
    <b v="0"/>
  </r>
  <r>
    <n v="100321"/>
    <x v="103"/>
    <s v="C1138"/>
    <s v="Sneha Iyer"/>
    <x v="8"/>
    <x v="2"/>
    <s v="Samsung Galaxy Tab S9"/>
    <n v="4"/>
    <n v="232000"/>
    <n v="0.05"/>
    <n v="29066.55"/>
    <b v="0"/>
  </r>
  <r>
    <n v="100322"/>
    <x v="200"/>
    <s v="C1145"/>
    <s v="Aditya Nair"/>
    <x v="3"/>
    <x v="0"/>
    <s v="Apple MacBook Air"/>
    <n v="3"/>
    <n v="255000"/>
    <n v="0.15"/>
    <n v="46825.37"/>
    <b v="0"/>
  </r>
  <r>
    <n v="100323"/>
    <x v="121"/>
    <s v="C1128"/>
    <s v="Karan Malhotra"/>
    <x v="0"/>
    <x v="1"/>
    <s v="Dell Optical Mouse"/>
    <n v="3"/>
    <n v="1500"/>
    <n v="0.05"/>
    <n v="210.72"/>
    <b v="0"/>
  </r>
  <r>
    <n v="100324"/>
    <x v="201"/>
    <s v="C1161"/>
    <s v="Priya Patel"/>
    <x v="5"/>
    <x v="0"/>
    <s v="Dell Inspiron 15"/>
    <n v="4"/>
    <n v="220000"/>
    <n v="0.1"/>
    <n v="25369.43"/>
    <b v="0"/>
  </r>
  <r>
    <n v="100325"/>
    <x v="202"/>
    <s v="C1115"/>
    <s v="Ananya Verma"/>
    <x v="8"/>
    <x v="0"/>
    <s v="HP Pavilion 14"/>
    <n v="3"/>
    <n v="186000"/>
    <n v="0.1"/>
    <n v="33291.699999999997"/>
    <b v="0"/>
  </r>
  <r>
    <n v="100326"/>
    <x v="182"/>
    <s v="C1220"/>
    <s v="Amit Kumar"/>
    <x v="6"/>
    <x v="1"/>
    <s v="Dell Optical Mouse"/>
    <n v="2"/>
    <n v="1000"/>
    <n v="0.1"/>
    <n v="219.32"/>
    <b v="0"/>
  </r>
  <r>
    <n v="100327"/>
    <x v="162"/>
    <s v="C1109"/>
    <s v="Amit Kumar"/>
    <x v="5"/>
    <x v="2"/>
    <s v="Samsung Galaxy Tab S9"/>
    <n v="2"/>
    <n v="116000"/>
    <n v="0.15"/>
    <n v="22381.01"/>
    <b v="0"/>
  </r>
  <r>
    <n v="100328"/>
    <x v="28"/>
    <s v="C1202"/>
    <s v="Aditya Nair"/>
    <x v="4"/>
    <x v="1"/>
    <s v="HP Wireless Mouse 200"/>
    <n v="1"/>
    <n v="800"/>
    <n v="0.2"/>
    <n v="93.46"/>
    <b v="0"/>
  </r>
  <r>
    <n v="100329"/>
    <x v="203"/>
    <s v="C1183"/>
    <s v="Rahul Sharma"/>
    <x v="3"/>
    <x v="2"/>
    <s v="Samsung Galaxy Tab S9"/>
    <n v="1"/>
    <n v="58000"/>
    <n v="0.15"/>
    <n v="10645.31"/>
    <b v="0"/>
  </r>
  <r>
    <n v="100330"/>
    <x v="204"/>
    <s v="C1232"/>
    <s v="Neha Gupta"/>
    <x v="4"/>
    <x v="2"/>
    <s v="Lenovo Tab P12"/>
    <n v="3"/>
    <n v="78000"/>
    <n v="0.1"/>
    <n v="11810.78"/>
    <b v="0"/>
  </r>
  <r>
    <n v="100331"/>
    <x v="68"/>
    <s v="C1164"/>
    <s v="Karan Malhotra"/>
    <x v="1"/>
    <x v="0"/>
    <s v="Apple MacBook Air"/>
    <n v="2"/>
    <n v="170000"/>
    <n v="0.15"/>
    <n v="27452.57"/>
    <b v="0"/>
  </r>
  <r>
    <n v="100332"/>
    <x v="205"/>
    <s v="C1102"/>
    <s v="Riya Sen"/>
    <x v="3"/>
    <x v="0"/>
    <s v="Lenovo IdeaPad 3"/>
    <n v="4"/>
    <n v="180000"/>
    <n v="0.05"/>
    <n v="40423.54"/>
    <b v="0"/>
  </r>
  <r>
    <n v="100333"/>
    <x v="168"/>
    <s v="C1241"/>
    <s v="Rohan Desai"/>
    <x v="5"/>
    <x v="0"/>
    <s v="HP Pavilion 14"/>
    <n v="4"/>
    <n v="248000"/>
    <n v="0.15"/>
    <n v="37746.879999999997"/>
    <b v="0"/>
  </r>
  <r>
    <n v="100334"/>
    <x v="108"/>
    <s v="C1219"/>
    <s v="Siddharth Rao"/>
    <x v="2"/>
    <x v="0"/>
    <s v="HP Pavilion 14"/>
    <n v="3"/>
    <n v="186000"/>
    <n v="0.15"/>
    <n v="33471.339999999997"/>
    <b v="0"/>
  </r>
  <r>
    <n v="100335"/>
    <x v="162"/>
    <s v="C1167"/>
    <s v="Amit Kumar"/>
    <x v="8"/>
    <x v="2"/>
    <s v="Lenovo Tab P12"/>
    <n v="4"/>
    <n v="104000"/>
    <n v="0.1"/>
    <n v="19132.95"/>
    <b v="0"/>
  </r>
  <r>
    <n v="100336"/>
    <x v="206"/>
    <s v="C1245"/>
    <s v="Rohan Desai"/>
    <x v="2"/>
    <x v="0"/>
    <s v="Lenovo IdeaPad 3"/>
    <n v="2"/>
    <n v="90000"/>
    <n v="0.1"/>
    <n v="14985.84"/>
    <b v="0"/>
  </r>
  <r>
    <n v="100337"/>
    <x v="207"/>
    <s v="C1136"/>
    <s v="Pooja Joshi"/>
    <x v="5"/>
    <x v="3"/>
    <s v="JBL Tune 510BT"/>
    <n v="2"/>
    <n v="6400"/>
    <n v="0.05"/>
    <n v="888.55"/>
    <b v="0"/>
  </r>
  <r>
    <n v="100338"/>
    <x v="208"/>
    <s v="C1172"/>
    <s v="Varun Singh"/>
    <x v="1"/>
    <x v="2"/>
    <s v="Lenovo Tab P12"/>
    <n v="3"/>
    <n v="78000"/>
    <n v="0.05"/>
    <n v="13414.94"/>
    <b v="0"/>
  </r>
  <r>
    <n v="100339"/>
    <x v="194"/>
    <s v="C1084"/>
    <s v="Rohan Khan"/>
    <x v="4"/>
    <x v="2"/>
    <s v="Xiaomi Pad 7"/>
    <n v="1"/>
    <n v="28000"/>
    <n v="0.15"/>
    <n v="2509.16"/>
    <b v="0"/>
  </r>
  <r>
    <n v="100340"/>
    <x v="35"/>
    <s v="C1148"/>
    <s v="Aditya Nair"/>
    <x v="3"/>
    <x v="1"/>
    <s v="Razer DeathAdder Essential"/>
    <n v="2"/>
    <n v="3600"/>
    <n v="0.1"/>
    <n v="560.98"/>
    <b v="0"/>
  </r>
  <r>
    <n v="100341"/>
    <x v="84"/>
    <s v="C1220"/>
    <s v="Amit Kumar"/>
    <x v="2"/>
    <x v="2"/>
    <s v="Samsung Galaxy Tab S9"/>
    <n v="1"/>
    <n v="58000"/>
    <n v="0.2"/>
    <n v="8683.07"/>
    <b v="0"/>
  </r>
  <r>
    <n v="100342"/>
    <x v="209"/>
    <s v="C1187"/>
    <s v="Varun Singh"/>
    <x v="5"/>
    <x v="0"/>
    <s v="HP Pavilion 14"/>
    <n v="4"/>
    <n v="248000"/>
    <n v="0.05"/>
    <n v="51144.27"/>
    <b v="0"/>
  </r>
  <r>
    <n v="100343"/>
    <x v="8"/>
    <s v="C1239"/>
    <s v="Meera Kapoor"/>
    <x v="2"/>
    <x v="1"/>
    <s v="Logitech G102"/>
    <n v="3"/>
    <n v="4500"/>
    <n v="0.2"/>
    <n v="640.82000000000005"/>
    <b v="0"/>
  </r>
  <r>
    <n v="100344"/>
    <x v="210"/>
    <s v="C1136"/>
    <s v="Pooja Joshi"/>
    <x v="5"/>
    <x v="3"/>
    <s v="boAt Rockerz 550"/>
    <n v="1"/>
    <n v="2000"/>
    <n v="0.2"/>
    <n v="384.31"/>
    <b v="0"/>
  </r>
  <r>
    <n v="100345"/>
    <x v="37"/>
    <s v="C1160"/>
    <s v="Neha Gupta"/>
    <x v="4"/>
    <x v="1"/>
    <s v="Dell Optical Mouse"/>
    <n v="2"/>
    <n v="1000"/>
    <n v="0.15"/>
    <n v="130.16"/>
    <b v="0"/>
  </r>
  <r>
    <n v="100346"/>
    <x v="211"/>
    <s v="C1223"/>
    <s v="Karan Malhotra"/>
    <x v="3"/>
    <x v="0"/>
    <s v="HP Pavilion 14"/>
    <n v="4"/>
    <n v="248000"/>
    <n v="0.2"/>
    <n v="44165.440000000002"/>
    <b v="0"/>
  </r>
  <r>
    <n v="100347"/>
    <x v="212"/>
    <s v="C1138"/>
    <s v="Sneha Iyer"/>
    <x v="8"/>
    <x v="1"/>
    <s v="Razer DeathAdder Essential"/>
    <n v="4"/>
    <n v="7200"/>
    <n v="0.15"/>
    <n v="1492.46"/>
    <b v="0"/>
  </r>
  <r>
    <n v="100348"/>
    <x v="146"/>
    <s v="C1162"/>
    <s v="Varun Singh"/>
    <x v="4"/>
    <x v="3"/>
    <s v="Sony WH-CH520"/>
    <n v="2"/>
    <n v="9000"/>
    <n v="0.05"/>
    <n v="1588.01"/>
    <b v="0"/>
  </r>
  <r>
    <n v="100349"/>
    <x v="213"/>
    <s v="C1145"/>
    <s v="Aditya Nair"/>
    <x v="2"/>
    <x v="1"/>
    <s v="Dell Optical Mouse"/>
    <n v="1"/>
    <n v="500"/>
    <n v="0.05"/>
    <n v="63.33"/>
    <b v="0"/>
  </r>
  <r>
    <n v="100350"/>
    <x v="214"/>
    <s v="C1187"/>
    <s v="Varun Singh"/>
    <x v="8"/>
    <x v="0"/>
    <s v="Dell Inspiron 15"/>
    <n v="1"/>
    <n v="55000"/>
    <n v="0.15"/>
    <n v="7730.38"/>
    <b v="0"/>
  </r>
  <r>
    <n v="100351"/>
    <x v="100"/>
    <s v="C1110"/>
    <s v="Rohan Desai"/>
    <x v="5"/>
    <x v="0"/>
    <s v="Apple MacBook Air"/>
    <n v="2"/>
    <n v="170000"/>
    <n v="0.15"/>
    <n v="33080.11"/>
    <b v="0"/>
  </r>
  <r>
    <n v="100352"/>
    <x v="86"/>
    <s v="C1161"/>
    <s v="Priya Patel"/>
    <x v="8"/>
    <x v="1"/>
    <s v="Dell Optical Mouse"/>
    <n v="3"/>
    <n v="1500"/>
    <n v="0.1"/>
    <n v="239.08"/>
    <b v="0"/>
  </r>
  <r>
    <n v="100353"/>
    <x v="215"/>
    <s v="C1176"/>
    <s v="Neha Gupta"/>
    <x v="5"/>
    <x v="2"/>
    <s v="Xiaomi Pad 7"/>
    <n v="1"/>
    <n v="28000"/>
    <n v="0.15"/>
    <n v="4940.26"/>
    <b v="0"/>
  </r>
  <r>
    <n v="100354"/>
    <x v="216"/>
    <s v="C1151"/>
    <s v="Neha Gupta"/>
    <x v="4"/>
    <x v="0"/>
    <s v="Lenovo IdeaPad 3"/>
    <n v="3"/>
    <n v="135000"/>
    <n v="0.2"/>
    <n v="14610.42"/>
    <b v="0"/>
  </r>
  <r>
    <n v="100355"/>
    <x v="96"/>
    <s v="C1103"/>
    <s v="Meera Kapoor"/>
    <x v="2"/>
    <x v="0"/>
    <s v="Apple MacBook Air"/>
    <n v="2"/>
    <n v="170000"/>
    <n v="0.05"/>
    <n v="34756.76"/>
    <b v="0"/>
  </r>
  <r>
    <n v="100356"/>
    <x v="47"/>
    <s v="C1158"/>
    <s v="Ananya Verma"/>
    <x v="1"/>
    <x v="2"/>
    <s v="Samsung Galaxy Tab S9"/>
    <n v="2"/>
    <n v="116000"/>
    <n v="0.1"/>
    <n v="13662"/>
    <b v="0"/>
  </r>
  <r>
    <n v="100357"/>
    <x v="217"/>
    <s v="C1171"/>
    <s v="Priya Patel"/>
    <x v="2"/>
    <x v="0"/>
    <s v="Dell Inspiron 15"/>
    <n v="4"/>
    <n v="220000"/>
    <n v="0.1"/>
    <n v="46453.99"/>
    <b v="0"/>
  </r>
  <r>
    <n v="100358"/>
    <x v="218"/>
    <s v="C1247"/>
    <s v="Sneha Iyer"/>
    <x v="5"/>
    <x v="2"/>
    <s v="Samsung Galaxy Tab S9"/>
    <n v="3"/>
    <n v="174000"/>
    <n v="0.2"/>
    <n v="27238.47"/>
    <b v="0"/>
  </r>
  <r>
    <n v="100359"/>
    <x v="80"/>
    <s v="C1192"/>
    <s v="Amit Kumar"/>
    <x v="0"/>
    <x v="2"/>
    <s v="Xiaomi Pad 7"/>
    <n v="2"/>
    <n v="56000"/>
    <n v="0.2"/>
    <n v="7187.28"/>
    <b v="0"/>
  </r>
  <r>
    <n v="100360"/>
    <x v="213"/>
    <s v="C1162"/>
    <s v="Varun Singh"/>
    <x v="3"/>
    <x v="1"/>
    <s v="HP Wireless Mouse 200"/>
    <n v="3"/>
    <n v="2400"/>
    <n v="0.1"/>
    <n v="334.34"/>
    <b v="0"/>
  </r>
  <r>
    <n v="100361"/>
    <x v="196"/>
    <s v="C1153"/>
    <s v="Pooja Joshi"/>
    <x v="6"/>
    <x v="2"/>
    <s v="iPad 10th Gen"/>
    <n v="2"/>
    <n v="76000"/>
    <n v="0.2"/>
    <n v="11816.39"/>
    <b v="0"/>
  </r>
  <r>
    <n v="100362"/>
    <x v="219"/>
    <s v="C1216"/>
    <s v="Priya Patel"/>
    <x v="1"/>
    <x v="1"/>
    <s v="Logitech G102"/>
    <n v="1"/>
    <n v="1500"/>
    <n v="0.15"/>
    <n v="277.95"/>
    <b v="0"/>
  </r>
  <r>
    <n v="100363"/>
    <x v="136"/>
    <s v="C1209"/>
    <s v="Neha Gupta"/>
    <x v="8"/>
    <x v="0"/>
    <s v="Dell Inspiron 15"/>
    <n v="3"/>
    <n v="165000"/>
    <n v="0.1"/>
    <n v="25771.05"/>
    <b v="0"/>
  </r>
  <r>
    <n v="100364"/>
    <x v="220"/>
    <s v="C1173"/>
    <s v="Karan Malhotra"/>
    <x v="1"/>
    <x v="2"/>
    <s v="Xiaomi Pad 7"/>
    <n v="1"/>
    <n v="28000"/>
    <n v="0.1"/>
    <n v="4097.0600000000004"/>
    <b v="0"/>
  </r>
  <r>
    <n v="100365"/>
    <x v="22"/>
    <s v="C1206"/>
    <s v="Meera Kapoor"/>
    <x v="3"/>
    <x v="0"/>
    <s v="ASUS Vivobook 15"/>
    <n v="2"/>
    <n v="100000"/>
    <n v="0.05"/>
    <n v="17976.43"/>
    <b v="0"/>
  </r>
  <r>
    <n v="100366"/>
    <x v="221"/>
    <s v="C1156"/>
    <s v="Rohan Desai"/>
    <x v="8"/>
    <x v="0"/>
    <s v="ASUS Vivobook 15"/>
    <n v="1"/>
    <n v="50000"/>
    <n v="0.2"/>
    <n v="9652.26"/>
    <b v="0"/>
  </r>
  <r>
    <n v="100367"/>
    <x v="106"/>
    <s v="C1102"/>
    <s v="Riya Sen"/>
    <x v="3"/>
    <x v="1"/>
    <s v="Dell Optical Mouse"/>
    <n v="4"/>
    <n v="2000"/>
    <n v="0.1"/>
    <n v="335.87"/>
    <b v="0"/>
  </r>
  <r>
    <n v="100368"/>
    <x v="222"/>
    <s v="C1219"/>
    <s v="Siddharth Rao"/>
    <x v="8"/>
    <x v="0"/>
    <s v="Apple MacBook Air"/>
    <n v="2"/>
    <n v="170000"/>
    <n v="0.05"/>
    <n v="33633.46"/>
    <b v="0"/>
  </r>
  <r>
    <n v="100369"/>
    <x v="131"/>
    <s v="C1105"/>
    <s v="Siddharth Rao"/>
    <x v="1"/>
    <x v="2"/>
    <s v="Xiaomi Pad 7"/>
    <n v="3"/>
    <n v="84000"/>
    <n v="0.05"/>
    <n v="17631.3"/>
    <b v="0"/>
  </r>
  <r>
    <n v="100370"/>
    <x v="116"/>
    <s v="C1104"/>
    <s v="Sneha Iyer"/>
    <x v="8"/>
    <x v="2"/>
    <s v="Xiaomi Pad 7"/>
    <n v="3"/>
    <n v="84000"/>
    <n v="0.05"/>
    <n v="16560.259999999998"/>
    <b v="0"/>
  </r>
  <r>
    <n v="100371"/>
    <x v="36"/>
    <s v="C1104"/>
    <s v="Sneha Iyer"/>
    <x v="8"/>
    <x v="1"/>
    <s v="HP Wireless Mouse 200"/>
    <n v="1"/>
    <n v="800"/>
    <n v="0.05"/>
    <n v="113.12"/>
    <b v="0"/>
  </r>
  <r>
    <n v="100372"/>
    <x v="223"/>
    <s v="C1153"/>
    <s v="Pooja Joshi"/>
    <x v="0"/>
    <x v="2"/>
    <s v="Lenovo Tab P12"/>
    <n v="4"/>
    <n v="104000"/>
    <n v="0.05"/>
    <n v="21249.03"/>
    <b v="0"/>
  </r>
  <r>
    <n v="100373"/>
    <x v="224"/>
    <s v="C1146"/>
    <s v="Aditya Nair"/>
    <x v="2"/>
    <x v="0"/>
    <s v="ASUS Vivobook 15"/>
    <n v="1"/>
    <n v="50000"/>
    <n v="0.05"/>
    <n v="11098"/>
    <b v="0"/>
  </r>
  <r>
    <n v="100374"/>
    <x v="225"/>
    <s v="C1108"/>
    <s v="Neha Gupta"/>
    <x v="2"/>
    <x v="0"/>
    <s v="Dell Inspiron 15"/>
    <n v="4"/>
    <n v="220000"/>
    <n v="0.15"/>
    <n v="29380.720000000001"/>
    <b v="0"/>
  </r>
  <r>
    <n v="100375"/>
    <x v="105"/>
    <s v="C1198"/>
    <s v="Amit Kumar"/>
    <x v="6"/>
    <x v="1"/>
    <s v="Razer DeathAdder Essential"/>
    <n v="1"/>
    <n v="1800"/>
    <n v="0.15"/>
    <n v="346.82"/>
    <b v="0"/>
  </r>
  <r>
    <n v="100376"/>
    <x v="172"/>
    <s v="C1119"/>
    <s v="Rohan Desai"/>
    <x v="6"/>
    <x v="0"/>
    <s v="Apple MacBook Air"/>
    <n v="3"/>
    <n v="255000"/>
    <n v="0.15"/>
    <n v="26386.67"/>
    <b v="0"/>
  </r>
  <r>
    <n v="100377"/>
    <x v="93"/>
    <s v="C1221"/>
    <s v="Pooja Joshi"/>
    <x v="5"/>
    <x v="2"/>
    <s v="Samsung Galaxy Tab S9"/>
    <n v="1"/>
    <n v="58000"/>
    <n v="0.2"/>
    <n v="5661.55"/>
    <b v="0"/>
  </r>
  <r>
    <n v="100378"/>
    <x v="222"/>
    <s v="C1160"/>
    <s v="Neha Gupta"/>
    <x v="5"/>
    <x v="3"/>
    <s v="Realme Buds Wireless 3"/>
    <n v="2"/>
    <n v="3600"/>
    <n v="0.2"/>
    <n v="361.32"/>
    <b v="0"/>
  </r>
  <r>
    <n v="100379"/>
    <x v="226"/>
    <s v="C1222"/>
    <s v="Karan Malhotra"/>
    <x v="5"/>
    <x v="2"/>
    <s v="Lenovo Tab P12"/>
    <n v="3"/>
    <n v="78000"/>
    <n v="0.05"/>
    <n v="16050.1"/>
    <b v="0"/>
  </r>
  <r>
    <n v="100380"/>
    <x v="74"/>
    <s v="C1181"/>
    <s v="Rohan Desai"/>
    <x v="0"/>
    <x v="1"/>
    <s v="Dell Optical Mouse"/>
    <n v="4"/>
    <n v="2000"/>
    <n v="0.05"/>
    <n v="470.48"/>
    <b v="0"/>
  </r>
  <r>
    <n v="100381"/>
    <x v="161"/>
    <s v="C1161"/>
    <s v="Priya Patel"/>
    <x v="6"/>
    <x v="2"/>
    <s v="Samsung Galaxy Tab S9"/>
    <n v="1"/>
    <n v="58000"/>
    <n v="0.05"/>
    <n v="13697.77"/>
    <b v="0"/>
  </r>
  <r>
    <n v="100382"/>
    <x v="225"/>
    <s v="C1244"/>
    <s v="Rohan Desai"/>
    <x v="3"/>
    <x v="3"/>
    <s v="Realme Buds Wireless 3"/>
    <n v="1"/>
    <n v="1800"/>
    <n v="0.15"/>
    <n v="192.12"/>
    <b v="0"/>
  </r>
  <r>
    <n v="100383"/>
    <x v="103"/>
    <s v="C1102"/>
    <s v="Riya Sen"/>
    <x v="5"/>
    <x v="1"/>
    <s v="HP Wireless Mouse 200"/>
    <n v="3"/>
    <n v="2400"/>
    <n v="0.1"/>
    <n v="463.97"/>
    <b v="0"/>
  </r>
  <r>
    <n v="100384"/>
    <x v="35"/>
    <s v="C1112"/>
    <s v="Sneha Iyer"/>
    <x v="5"/>
    <x v="3"/>
    <s v="JBL Tune 510BT"/>
    <n v="3"/>
    <n v="9600"/>
    <n v="0.1"/>
    <n v="1457.42"/>
    <b v="0"/>
  </r>
  <r>
    <n v="100385"/>
    <x v="20"/>
    <s v="C1219"/>
    <s v="Siddharth Rao"/>
    <x v="1"/>
    <x v="3"/>
    <s v="Realme Buds Wireless 3"/>
    <n v="3"/>
    <n v="5400"/>
    <n v="0.1"/>
    <n v="804.3"/>
    <b v="0"/>
  </r>
  <r>
    <n v="100386"/>
    <x v="93"/>
    <s v="C1224"/>
    <s v="Karan Malhotra"/>
    <x v="4"/>
    <x v="3"/>
    <s v="JBL Tune 510BT"/>
    <n v="2"/>
    <n v="6400"/>
    <n v="0.15"/>
    <n v="1240.74"/>
    <b v="0"/>
  </r>
  <r>
    <n v="100387"/>
    <x v="145"/>
    <s v="C1188"/>
    <s v="Priya Patel"/>
    <x v="3"/>
    <x v="3"/>
    <s v="boAt Rockerz 550"/>
    <n v="1"/>
    <n v="2000"/>
    <n v="0.2"/>
    <n v="323.45"/>
    <b v="0"/>
  </r>
  <r>
    <n v="100388"/>
    <x v="227"/>
    <s v="C1172"/>
    <s v="Varun Singh"/>
    <x v="5"/>
    <x v="2"/>
    <s v="Xiaomi Pad 7"/>
    <n v="4"/>
    <n v="112000"/>
    <n v="0.15"/>
    <n v="12026.19"/>
    <b v="0"/>
  </r>
  <r>
    <n v="100389"/>
    <x v="92"/>
    <s v="C1167"/>
    <s v="Amit Kumar"/>
    <x v="5"/>
    <x v="3"/>
    <s v="Realme Buds Wireless 3"/>
    <n v="1"/>
    <n v="1800"/>
    <n v="0.1"/>
    <n v="309.82"/>
    <b v="0"/>
  </r>
  <r>
    <n v="100390"/>
    <x v="228"/>
    <s v="C1241"/>
    <s v="Rohan Desai"/>
    <x v="5"/>
    <x v="3"/>
    <s v="boAt Rockerz 550"/>
    <n v="2"/>
    <n v="4000"/>
    <n v="0.15"/>
    <n v="707.44"/>
    <b v="0"/>
  </r>
  <r>
    <n v="100391"/>
    <x v="86"/>
    <s v="C1200"/>
    <s v="Priya Patel"/>
    <x v="4"/>
    <x v="3"/>
    <s v="boAt Rockerz 550"/>
    <n v="3"/>
    <n v="6000"/>
    <n v="0.05"/>
    <n v="837.57"/>
    <b v="0"/>
  </r>
  <r>
    <n v="100392"/>
    <x v="229"/>
    <s v="C1197"/>
    <s v="Priya Patel"/>
    <x v="4"/>
    <x v="3"/>
    <s v="boAt Rockerz 550"/>
    <n v="3"/>
    <n v="6000"/>
    <n v="0.15"/>
    <n v="1051.23"/>
    <b v="0"/>
  </r>
  <r>
    <n v="100393"/>
    <x v="43"/>
    <s v="C1110"/>
    <s v="Rohan Desai"/>
    <x v="0"/>
    <x v="1"/>
    <s v="Dell Optical Mouse"/>
    <n v="2"/>
    <n v="1000"/>
    <n v="0.05"/>
    <n v="133.6"/>
    <b v="0"/>
  </r>
  <r>
    <n v="100394"/>
    <x v="55"/>
    <s v="C1204"/>
    <s v="Aditya Nair"/>
    <x v="3"/>
    <x v="3"/>
    <s v="JBL Tune 510BT"/>
    <n v="3"/>
    <n v="9600"/>
    <n v="0.15"/>
    <n v="1438.7"/>
    <b v="0"/>
  </r>
  <r>
    <n v="100395"/>
    <x v="72"/>
    <s v="C1166"/>
    <s v="Priya Patel"/>
    <x v="0"/>
    <x v="2"/>
    <s v="Lenovo Tab P12"/>
    <n v="2"/>
    <n v="52000"/>
    <n v="0.05"/>
    <n v="9406.4500000000007"/>
    <b v="0"/>
  </r>
  <r>
    <n v="100396"/>
    <x v="230"/>
    <s v="C1222"/>
    <s v="Karan Malhotra"/>
    <x v="8"/>
    <x v="2"/>
    <s v="Samsung Galaxy Tab S9"/>
    <n v="4"/>
    <n v="232000"/>
    <n v="0.1"/>
    <n v="36319.980000000003"/>
    <b v="0"/>
  </r>
  <r>
    <n v="100397"/>
    <x v="128"/>
    <s v="C1128"/>
    <s v="Karan Malhotra"/>
    <x v="4"/>
    <x v="1"/>
    <s v="Razer DeathAdder Essential"/>
    <n v="4"/>
    <n v="7200"/>
    <n v="0.2"/>
    <n v="1131.8699999999999"/>
    <b v="0"/>
  </r>
  <r>
    <n v="100398"/>
    <x v="7"/>
    <s v="C1236"/>
    <s v="Karan Malhotra"/>
    <x v="1"/>
    <x v="0"/>
    <s v="Apple MacBook Air"/>
    <n v="3"/>
    <n v="255000"/>
    <n v="0.1"/>
    <n v="40215.42"/>
    <b v="0"/>
  </r>
  <r>
    <n v="100399"/>
    <x v="30"/>
    <s v="C1175"/>
    <s v="Karan Malhotra"/>
    <x v="6"/>
    <x v="3"/>
    <s v="Sony WH-CH520"/>
    <n v="4"/>
    <n v="18000"/>
    <n v="0.15"/>
    <n v="2209.77"/>
    <b v="0"/>
  </r>
  <r>
    <n v="100400"/>
    <x v="18"/>
    <s v="C1108"/>
    <s v="Neha Gupta"/>
    <x v="1"/>
    <x v="0"/>
    <s v="HP Pavilion 14"/>
    <n v="2"/>
    <n v="124000"/>
    <n v="0.1"/>
    <n v="18945.64"/>
    <b v="0"/>
  </r>
  <r>
    <n v="100401"/>
    <x v="6"/>
    <s v="C1139"/>
    <s v="Sneha Iyer"/>
    <x v="6"/>
    <x v="2"/>
    <s v="iPad 10th Gen"/>
    <n v="2"/>
    <n v="76000"/>
    <n v="0.1"/>
    <n v="15288.18"/>
    <b v="0"/>
  </r>
  <r>
    <n v="100402"/>
    <x v="158"/>
    <s v="C1124"/>
    <s v="Karan Malhotra"/>
    <x v="4"/>
    <x v="3"/>
    <s v="Sony WH-CH520"/>
    <n v="2"/>
    <n v="9000"/>
    <n v="0.05"/>
    <n v="1319.5"/>
    <b v="0"/>
  </r>
  <r>
    <n v="100403"/>
    <x v="231"/>
    <s v="C1104"/>
    <s v="Sneha Iyer"/>
    <x v="4"/>
    <x v="2"/>
    <s v="iPad 10th Gen"/>
    <n v="2"/>
    <n v="76000"/>
    <n v="0.05"/>
    <n v="11709.87"/>
    <b v="0"/>
  </r>
  <r>
    <n v="100404"/>
    <x v="232"/>
    <s v="C1238"/>
    <s v="Siddharth Rao"/>
    <x v="4"/>
    <x v="0"/>
    <s v="Lenovo IdeaPad 3"/>
    <n v="1"/>
    <n v="45000"/>
    <n v="0.1"/>
    <n v="6326.08"/>
    <b v="0"/>
  </r>
  <r>
    <n v="100405"/>
    <x v="233"/>
    <s v="C1223"/>
    <s v="Karan Malhotra"/>
    <x v="0"/>
    <x v="1"/>
    <s v="Dell Optical Mouse"/>
    <n v="3"/>
    <n v="1500"/>
    <n v="0.1"/>
    <n v="173.08"/>
    <b v="0"/>
  </r>
  <r>
    <n v="100406"/>
    <x v="234"/>
    <s v="C1137"/>
    <s v="Rahul Sharma"/>
    <x v="3"/>
    <x v="0"/>
    <s v="Lenovo IdeaPad 3"/>
    <n v="4"/>
    <n v="180000"/>
    <n v="0.15"/>
    <n v="37917.949999999997"/>
    <b v="0"/>
  </r>
  <r>
    <n v="100407"/>
    <x v="54"/>
    <s v="C1171"/>
    <s v="Priya Patel"/>
    <x v="6"/>
    <x v="3"/>
    <s v="Realme Buds Wireless 3"/>
    <n v="2"/>
    <n v="3600"/>
    <n v="0.05"/>
    <n v="742.89"/>
    <b v="0"/>
  </r>
  <r>
    <n v="100408"/>
    <x v="218"/>
    <s v="C1232"/>
    <s v="Neha Gupta"/>
    <x v="3"/>
    <x v="0"/>
    <s v="Lenovo IdeaPad 3"/>
    <n v="4"/>
    <n v="180000"/>
    <n v="0.05"/>
    <n v="30834.5"/>
    <b v="0"/>
  </r>
  <r>
    <n v="100409"/>
    <x v="235"/>
    <s v="C1189"/>
    <s v="Aditya Nair"/>
    <x v="0"/>
    <x v="2"/>
    <s v="Samsung Galaxy Tab S9"/>
    <n v="1"/>
    <n v="58000"/>
    <n v="0.05"/>
    <n v="12976.07"/>
    <b v="0"/>
  </r>
  <r>
    <n v="100410"/>
    <x v="153"/>
    <s v="C1245"/>
    <s v="Rohan Desai"/>
    <x v="0"/>
    <x v="1"/>
    <s v="Logitech G102"/>
    <n v="4"/>
    <n v="6000"/>
    <n v="0.2"/>
    <n v="1111.47"/>
    <b v="0"/>
  </r>
  <r>
    <n v="100411"/>
    <x v="151"/>
    <s v="C1136"/>
    <s v="Pooja Joshi"/>
    <x v="2"/>
    <x v="3"/>
    <s v="Sony WH-CH520"/>
    <n v="1"/>
    <n v="4500"/>
    <n v="0.2"/>
    <n v="526.1"/>
    <b v="0"/>
  </r>
  <r>
    <n v="100412"/>
    <x v="156"/>
    <s v="C1159"/>
    <s v="Pooja Joshi"/>
    <x v="1"/>
    <x v="3"/>
    <s v="Realme Buds Wireless 3"/>
    <n v="3"/>
    <n v="5400"/>
    <n v="0.05"/>
    <n v="906.65"/>
    <b v="0"/>
  </r>
  <r>
    <n v="100413"/>
    <x v="236"/>
    <s v="C1127"/>
    <s v="Priya Patel"/>
    <x v="1"/>
    <x v="0"/>
    <s v="HP Pavilion 14"/>
    <n v="2"/>
    <n v="124000"/>
    <n v="0.2"/>
    <n v="15115.22"/>
    <b v="0"/>
  </r>
  <r>
    <n v="100414"/>
    <x v="16"/>
    <s v="C1180"/>
    <s v="Meera Kapoor"/>
    <x v="8"/>
    <x v="2"/>
    <s v="Xiaomi Pad 7"/>
    <n v="4"/>
    <n v="112000"/>
    <n v="0.1"/>
    <n v="13339.8"/>
    <b v="0"/>
  </r>
  <r>
    <n v="100415"/>
    <x v="185"/>
    <s v="C1213"/>
    <s v="Siddharth Rao"/>
    <x v="5"/>
    <x v="3"/>
    <s v="Realme Buds Wireless 3"/>
    <n v="3"/>
    <n v="5400"/>
    <n v="0.05"/>
    <n v="1114.56"/>
    <b v="0"/>
  </r>
  <r>
    <n v="100416"/>
    <x v="237"/>
    <s v="C1139"/>
    <s v="Sneha Iyer"/>
    <x v="0"/>
    <x v="3"/>
    <s v="boAt Rockerz 550"/>
    <n v="2"/>
    <n v="4000"/>
    <n v="0.15"/>
    <n v="848.95"/>
    <b v="0"/>
  </r>
  <r>
    <n v="100417"/>
    <x v="238"/>
    <s v="C1144"/>
    <s v="Meera Kapoor"/>
    <x v="6"/>
    <x v="1"/>
    <s v="HP Wireless Mouse 200"/>
    <n v="3"/>
    <n v="2400"/>
    <n v="0.2"/>
    <n v="333.03"/>
    <b v="0"/>
  </r>
  <r>
    <n v="100418"/>
    <x v="141"/>
    <s v="C1161"/>
    <s v="Priya Patel"/>
    <x v="2"/>
    <x v="0"/>
    <s v="Dell Inspiron 15"/>
    <n v="4"/>
    <n v="220000"/>
    <n v="0.15"/>
    <n v="31201.98"/>
    <b v="0"/>
  </r>
  <r>
    <n v="100419"/>
    <x v="239"/>
    <s v="C1192"/>
    <s v="Amit Kumar"/>
    <x v="2"/>
    <x v="1"/>
    <s v="Razer DeathAdder Essential"/>
    <n v="3"/>
    <n v="5400"/>
    <n v="0.1"/>
    <n v="780.81"/>
    <b v="0"/>
  </r>
  <r>
    <n v="100420"/>
    <x v="238"/>
    <s v="C1214"/>
    <s v="Ananya Verma"/>
    <x v="5"/>
    <x v="3"/>
    <s v="boAt Rockerz 550"/>
    <n v="3"/>
    <n v="6000"/>
    <n v="0.1"/>
    <n v="658.1"/>
    <b v="0"/>
  </r>
  <r>
    <n v="100421"/>
    <x v="240"/>
    <s v="C1166"/>
    <s v="Priya Patel"/>
    <x v="3"/>
    <x v="2"/>
    <s v="Lenovo Tab P12"/>
    <n v="2"/>
    <n v="52000"/>
    <n v="0.05"/>
    <n v="10823.51"/>
    <b v="0"/>
  </r>
  <r>
    <n v="100422"/>
    <x v="241"/>
    <s v="C1155"/>
    <s v="Ananya Verma"/>
    <x v="5"/>
    <x v="3"/>
    <s v="JBL Tune 510BT"/>
    <n v="3"/>
    <n v="9600"/>
    <n v="0.2"/>
    <n v="1540.13"/>
    <b v="0"/>
  </r>
  <r>
    <n v="100423"/>
    <x v="193"/>
    <s v="C1139"/>
    <s v="Sneha Iyer"/>
    <x v="5"/>
    <x v="1"/>
    <s v="HP Wireless Mouse 200"/>
    <n v="4"/>
    <n v="3200"/>
    <n v="0.05"/>
    <n v="706.42"/>
    <b v="0"/>
  </r>
  <r>
    <n v="100424"/>
    <x v="189"/>
    <s v="C1197"/>
    <s v="Priya Patel"/>
    <x v="5"/>
    <x v="2"/>
    <s v="iPad 10th Gen"/>
    <n v="1"/>
    <n v="38000"/>
    <n v="0.2"/>
    <n v="7563.16"/>
    <b v="0"/>
  </r>
  <r>
    <n v="100425"/>
    <x v="164"/>
    <s v="C1139"/>
    <s v="Sneha Iyer"/>
    <x v="1"/>
    <x v="1"/>
    <s v="HP Wireless Mouse 200"/>
    <n v="3"/>
    <n v="2400"/>
    <n v="0.1"/>
    <n v="457.84"/>
    <b v="0"/>
  </r>
  <r>
    <n v="100426"/>
    <x v="123"/>
    <s v="C1190"/>
    <s v="Vikram Reddy"/>
    <x v="0"/>
    <x v="1"/>
    <s v="Logitech G102"/>
    <n v="4"/>
    <n v="6000"/>
    <n v="0.2"/>
    <n v="948.44"/>
    <b v="0"/>
  </r>
  <r>
    <n v="100427"/>
    <x v="242"/>
    <s v="C1132"/>
    <s v="Amit Kumar"/>
    <x v="8"/>
    <x v="3"/>
    <s v="JBL Tune 510BT"/>
    <n v="2"/>
    <n v="6400"/>
    <n v="0.1"/>
    <n v="947.22"/>
    <b v="0"/>
  </r>
  <r>
    <n v="100428"/>
    <x v="132"/>
    <s v="C1105"/>
    <s v="Siddharth Rao"/>
    <x v="0"/>
    <x v="0"/>
    <s v="Dell Inspiron 15"/>
    <n v="1"/>
    <n v="55000"/>
    <n v="0.15"/>
    <n v="8302.69"/>
    <b v="0"/>
  </r>
  <r>
    <n v="100429"/>
    <x v="243"/>
    <s v="C1246"/>
    <s v="Rahul Sharma"/>
    <x v="3"/>
    <x v="2"/>
    <s v="Lenovo Tab P12"/>
    <n v="2"/>
    <n v="52000"/>
    <n v="0.05"/>
    <n v="8889.61"/>
    <b v="0"/>
  </r>
  <r>
    <n v="100430"/>
    <x v="244"/>
    <s v="C1179"/>
    <s v="Siddharth Rao"/>
    <x v="4"/>
    <x v="2"/>
    <s v="Xiaomi Pad 7"/>
    <n v="2"/>
    <n v="56000"/>
    <n v="0.15"/>
    <n v="11585.65"/>
    <b v="0"/>
  </r>
  <r>
    <n v="100431"/>
    <x v="223"/>
    <s v="C1191"/>
    <s v="Vikram Reddy"/>
    <x v="5"/>
    <x v="0"/>
    <s v="HP Pavilion 14"/>
    <n v="3"/>
    <n v="186000"/>
    <n v="0.15"/>
    <n v="36722.42"/>
    <b v="0"/>
  </r>
  <r>
    <n v="100432"/>
    <x v="146"/>
    <s v="C1196"/>
    <s v="Meera Kapoor"/>
    <x v="0"/>
    <x v="3"/>
    <s v="JBL Tune 510BT"/>
    <n v="3"/>
    <n v="9600"/>
    <n v="0.05"/>
    <n v="1843.28"/>
    <b v="0"/>
  </r>
  <r>
    <n v="100433"/>
    <x v="17"/>
    <s v="C1158"/>
    <s v="Ananya Verma"/>
    <x v="3"/>
    <x v="1"/>
    <s v="Logitech G102"/>
    <n v="3"/>
    <n v="4500"/>
    <n v="0.15"/>
    <n v="943.44"/>
    <b v="0"/>
  </r>
  <r>
    <n v="100434"/>
    <x v="245"/>
    <s v="C1158"/>
    <s v="Ananya Verma"/>
    <x v="4"/>
    <x v="2"/>
    <s v="Samsung Galaxy Tab S9"/>
    <n v="2"/>
    <n v="116000"/>
    <n v="0.15"/>
    <n v="21417.23"/>
    <b v="0"/>
  </r>
  <r>
    <n v="100435"/>
    <x v="12"/>
    <s v="C1147"/>
    <s v="Meera Kapoor"/>
    <x v="4"/>
    <x v="1"/>
    <s v="Dell Optical Mouse"/>
    <n v="1"/>
    <n v="500"/>
    <n v="0.15"/>
    <n v="62.28"/>
    <b v="0"/>
  </r>
  <r>
    <n v="100436"/>
    <x v="41"/>
    <s v="C1112"/>
    <s v="Sneha Iyer"/>
    <x v="5"/>
    <x v="2"/>
    <s v="Samsung Galaxy Tab S9"/>
    <n v="2"/>
    <n v="116000"/>
    <n v="0.15"/>
    <n v="17637.41"/>
    <b v="0"/>
  </r>
  <r>
    <n v="100437"/>
    <x v="35"/>
    <s v="C1206"/>
    <s v="Meera Kapoor"/>
    <x v="8"/>
    <x v="2"/>
    <s v="Samsung Galaxy Tab S9"/>
    <n v="2"/>
    <n v="116000"/>
    <n v="0.2"/>
    <n v="19404.61"/>
    <b v="0"/>
  </r>
  <r>
    <n v="100438"/>
    <x v="72"/>
    <s v="C1144"/>
    <s v="Meera Kapoor"/>
    <x v="6"/>
    <x v="0"/>
    <s v="Dell Inspiron 15"/>
    <n v="3"/>
    <n v="165000"/>
    <n v="0.15"/>
    <n v="32111.66"/>
    <b v="0"/>
  </r>
  <r>
    <n v="100439"/>
    <x v="110"/>
    <s v="C1188"/>
    <s v="Priya Patel"/>
    <x v="1"/>
    <x v="2"/>
    <s v="Lenovo Tab P12"/>
    <n v="2"/>
    <n v="52000"/>
    <n v="0.1"/>
    <n v="8876.6299999999992"/>
    <b v="0"/>
  </r>
  <r>
    <n v="100440"/>
    <x v="60"/>
    <s v="C1199"/>
    <s v="Karan Malhotra"/>
    <x v="0"/>
    <x v="3"/>
    <s v="Sony WH-CH520"/>
    <n v="2"/>
    <n v="9000"/>
    <n v="0.05"/>
    <n v="1196.83"/>
    <b v="0"/>
  </r>
  <r>
    <n v="100441"/>
    <x v="83"/>
    <s v="C1106"/>
    <s v="Riya Sen"/>
    <x v="4"/>
    <x v="0"/>
    <s v="ASUS Vivobook 15"/>
    <n v="2"/>
    <n v="100000"/>
    <n v="0.1"/>
    <n v="21579.3"/>
    <b v="0"/>
  </r>
  <r>
    <n v="100442"/>
    <x v="118"/>
    <s v="C1232"/>
    <s v="Neha Gupta"/>
    <x v="0"/>
    <x v="2"/>
    <s v="iPad 10th Gen"/>
    <n v="4"/>
    <n v="152000"/>
    <n v="0.2"/>
    <n v="20202.650000000001"/>
    <b v="0"/>
  </r>
  <r>
    <n v="100443"/>
    <x v="6"/>
    <s v="C1144"/>
    <s v="Meera Kapoor"/>
    <x v="6"/>
    <x v="2"/>
    <s v="Lenovo Tab P12"/>
    <n v="4"/>
    <n v="104000"/>
    <n v="0.05"/>
    <n v="17293.32"/>
    <b v="0"/>
  </r>
  <r>
    <n v="100444"/>
    <x v="246"/>
    <s v="C1157"/>
    <s v="Neha Gupta"/>
    <x v="1"/>
    <x v="2"/>
    <s v="Xiaomi Pad 7"/>
    <n v="4"/>
    <n v="112000"/>
    <n v="0.2"/>
    <n v="21013.57"/>
    <b v="0"/>
  </r>
  <r>
    <n v="100445"/>
    <x v="42"/>
    <s v="C1130"/>
    <s v="Rahul Sharma"/>
    <x v="6"/>
    <x v="3"/>
    <s v="Sony WH-CH520"/>
    <n v="2"/>
    <n v="9000"/>
    <n v="0.15"/>
    <n v="1128.07"/>
    <b v="0"/>
  </r>
  <r>
    <n v="100446"/>
    <x v="205"/>
    <s v="C1122"/>
    <s v="Priya Patel"/>
    <x v="1"/>
    <x v="0"/>
    <s v="Dell Inspiron 15"/>
    <n v="3"/>
    <n v="165000"/>
    <n v="0.2"/>
    <n v="19214.580000000002"/>
    <b v="0"/>
  </r>
  <r>
    <n v="100447"/>
    <x v="242"/>
    <s v="C1237"/>
    <s v="Siddharth Rao"/>
    <x v="2"/>
    <x v="0"/>
    <s v="ASUS Vivobook 15"/>
    <n v="3"/>
    <n v="150000"/>
    <n v="0.15"/>
    <n v="15797.68"/>
    <b v="0"/>
  </r>
  <r>
    <n v="100448"/>
    <x v="174"/>
    <s v="C1206"/>
    <s v="Meera Kapoor"/>
    <x v="1"/>
    <x v="2"/>
    <s v="Xiaomi Pad 7"/>
    <n v="3"/>
    <n v="84000"/>
    <n v="0.15"/>
    <n v="17602.939999999999"/>
    <b v="0"/>
  </r>
  <r>
    <n v="100449"/>
    <x v="247"/>
    <s v="C1138"/>
    <s v="Sneha Iyer"/>
    <x v="5"/>
    <x v="3"/>
    <s v="JBL Tune 510BT"/>
    <n v="3"/>
    <n v="9600"/>
    <n v="0.05"/>
    <n v="1168.3699999999999"/>
    <b v="0"/>
  </r>
  <r>
    <n v="100450"/>
    <x v="56"/>
    <s v="C1181"/>
    <s v="Rohan Desai"/>
    <x v="8"/>
    <x v="3"/>
    <s v="Realme Buds Wireless 3"/>
    <n v="3"/>
    <n v="5400"/>
    <n v="0.05"/>
    <n v="1266.06"/>
    <b v="0"/>
  </r>
  <r>
    <n v="100451"/>
    <x v="170"/>
    <s v="C1199"/>
    <s v="Karan Malhotra"/>
    <x v="6"/>
    <x v="0"/>
    <s v="ASUS Vivobook 15"/>
    <n v="4"/>
    <n v="200000"/>
    <n v="0.1"/>
    <n v="43548.39"/>
    <b v="0"/>
  </r>
  <r>
    <n v="100452"/>
    <x v="9"/>
    <s v="C1101"/>
    <s v="Varun Singh"/>
    <x v="4"/>
    <x v="1"/>
    <s v="Razer DeathAdder Essential"/>
    <n v="3"/>
    <n v="5400"/>
    <n v="0.1"/>
    <n v="628.08000000000004"/>
    <b v="0"/>
  </r>
  <r>
    <n v="100453"/>
    <x v="248"/>
    <s v="C1176"/>
    <s v="Neha Gupta"/>
    <x v="5"/>
    <x v="3"/>
    <s v="Sony WH-CH520"/>
    <n v="2"/>
    <n v="9000"/>
    <n v="0.15"/>
    <n v="1384.53"/>
    <b v="0"/>
  </r>
  <r>
    <n v="100454"/>
    <x v="242"/>
    <s v="C1111"/>
    <s v="Neha Gupta"/>
    <x v="2"/>
    <x v="2"/>
    <s v="Lenovo Tab P12"/>
    <n v="2"/>
    <n v="52000"/>
    <n v="0.2"/>
    <n v="5897.79"/>
    <b v="0"/>
  </r>
  <r>
    <n v="100455"/>
    <x v="166"/>
    <s v="C1138"/>
    <s v="Sneha Iyer"/>
    <x v="8"/>
    <x v="0"/>
    <s v="Lenovo IdeaPad 3"/>
    <n v="3"/>
    <n v="135000"/>
    <n v="0.05"/>
    <n v="28049.3"/>
    <b v="0"/>
  </r>
  <r>
    <n v="100456"/>
    <x v="45"/>
    <s v="C1112"/>
    <s v="Sneha Iyer"/>
    <x v="0"/>
    <x v="3"/>
    <s v="Realme Buds Wireless 3"/>
    <n v="4"/>
    <n v="7200"/>
    <n v="0.2"/>
    <n v="899.64"/>
    <b v="0"/>
  </r>
  <r>
    <n v="100457"/>
    <x v="249"/>
    <s v="C1145"/>
    <s v="Aditya Nair"/>
    <x v="5"/>
    <x v="3"/>
    <s v="JBL Tune 510BT"/>
    <n v="2"/>
    <n v="6400"/>
    <n v="0.2"/>
    <n v="813.67"/>
    <b v="0"/>
  </r>
  <r>
    <n v="100458"/>
    <x v="245"/>
    <s v="C1212"/>
    <s v="Aditya Nair"/>
    <x v="6"/>
    <x v="2"/>
    <s v="Lenovo Tab P12"/>
    <n v="4"/>
    <n v="104000"/>
    <n v="0.1"/>
    <n v="14352.64"/>
    <b v="0"/>
  </r>
  <r>
    <n v="100459"/>
    <x v="222"/>
    <s v="C1116"/>
    <s v="Varun Singh"/>
    <x v="3"/>
    <x v="0"/>
    <s v="Lenovo IdeaPad 3"/>
    <n v="1"/>
    <n v="45000"/>
    <n v="0.05"/>
    <n v="5477.7"/>
    <b v="0"/>
  </r>
  <r>
    <n v="100460"/>
    <x v="64"/>
    <s v="C1203"/>
    <s v="Varun Singh"/>
    <x v="3"/>
    <x v="0"/>
    <s v="HP Pavilion 14"/>
    <n v="2"/>
    <n v="124000"/>
    <n v="0.2"/>
    <n v="13798.71"/>
    <b v="0"/>
  </r>
  <r>
    <n v="100461"/>
    <x v="215"/>
    <s v="C1197"/>
    <s v="Priya Patel"/>
    <x v="4"/>
    <x v="3"/>
    <s v="Sony WH-CH520"/>
    <n v="3"/>
    <n v="13500"/>
    <n v="0.2"/>
    <n v="1513.52"/>
    <b v="0"/>
  </r>
  <r>
    <n v="100462"/>
    <x v="250"/>
    <s v="C1187"/>
    <s v="Varun Singh"/>
    <x v="1"/>
    <x v="1"/>
    <s v="Razer DeathAdder Essential"/>
    <n v="2"/>
    <n v="3600"/>
    <n v="0.15"/>
    <n v="487.5"/>
    <b v="0"/>
  </r>
  <r>
    <n v="100463"/>
    <x v="48"/>
    <s v="C1208"/>
    <s v="Aditya Nair"/>
    <x v="4"/>
    <x v="3"/>
    <s v="Sony WH-CH520"/>
    <n v="4"/>
    <n v="18000"/>
    <n v="0.1"/>
    <n v="2232.83"/>
    <b v="0"/>
  </r>
  <r>
    <n v="100464"/>
    <x v="251"/>
    <s v="C1169"/>
    <s v="Amit Kumar"/>
    <x v="3"/>
    <x v="2"/>
    <s v="Samsung Galaxy Tab S9"/>
    <n v="4"/>
    <n v="232000"/>
    <n v="0.2"/>
    <n v="25748.33"/>
    <b v="0"/>
  </r>
  <r>
    <n v="100465"/>
    <x v="161"/>
    <s v="C1173"/>
    <s v="Karan Malhotra"/>
    <x v="0"/>
    <x v="1"/>
    <s v="Dell Optical Mouse"/>
    <n v="4"/>
    <n v="2000"/>
    <n v="0.2"/>
    <n v="293.47000000000003"/>
    <b v="0"/>
  </r>
  <r>
    <n v="100466"/>
    <x v="34"/>
    <s v="C1162"/>
    <s v="Varun Singh"/>
    <x v="2"/>
    <x v="0"/>
    <s v="ASUS Vivobook 15"/>
    <n v="3"/>
    <n v="150000"/>
    <n v="0.15"/>
    <n v="20379.63"/>
    <b v="0"/>
  </r>
  <r>
    <n v="100467"/>
    <x v="252"/>
    <s v="C1159"/>
    <s v="Pooja Joshi"/>
    <x v="2"/>
    <x v="0"/>
    <s v="HP Pavilion 14"/>
    <n v="1"/>
    <n v="62000"/>
    <n v="0.2"/>
    <n v="8297.84"/>
    <b v="0"/>
  </r>
  <r>
    <n v="100468"/>
    <x v="96"/>
    <s v="C1178"/>
    <s v="Riya Sen"/>
    <x v="6"/>
    <x v="2"/>
    <s v="Xiaomi Pad 7"/>
    <n v="1"/>
    <n v="28000"/>
    <n v="0.2"/>
    <n v="4281.5600000000004"/>
    <b v="0"/>
  </r>
  <r>
    <n v="100469"/>
    <x v="213"/>
    <s v="C1136"/>
    <s v="Pooja Joshi"/>
    <x v="2"/>
    <x v="3"/>
    <s v="Realme Buds Wireless 3"/>
    <n v="1"/>
    <n v="1800"/>
    <n v="0.15"/>
    <n v="223.23"/>
    <b v="0"/>
  </r>
  <r>
    <n v="100470"/>
    <x v="12"/>
    <s v="C1121"/>
    <s v="Ananya Verma"/>
    <x v="6"/>
    <x v="1"/>
    <s v="HP Wireless Mouse 200"/>
    <n v="3"/>
    <n v="2400"/>
    <n v="0.15"/>
    <n v="393.99"/>
    <b v="0"/>
  </r>
  <r>
    <n v="100471"/>
    <x v="253"/>
    <s v="C1247"/>
    <s v="Sneha Iyer"/>
    <x v="5"/>
    <x v="3"/>
    <s v="boAt Rockerz 550"/>
    <n v="4"/>
    <n v="8000"/>
    <n v="0.2"/>
    <n v="781.16"/>
    <b v="0"/>
  </r>
  <r>
    <n v="100472"/>
    <x v="85"/>
    <s v="C1195"/>
    <s v="Riya Sen"/>
    <x v="6"/>
    <x v="0"/>
    <s v="HP Pavilion 14"/>
    <n v="1"/>
    <n v="62000"/>
    <n v="0.2"/>
    <n v="10182.24"/>
    <b v="0"/>
  </r>
  <r>
    <n v="100473"/>
    <x v="110"/>
    <s v="C1167"/>
    <s v="Amit Kumar"/>
    <x v="5"/>
    <x v="3"/>
    <s v="Realme Buds Wireless 3"/>
    <n v="2"/>
    <n v="3600"/>
    <n v="0.15"/>
    <n v="628.99"/>
    <b v="0"/>
  </r>
  <r>
    <n v="100474"/>
    <x v="96"/>
    <s v="C1116"/>
    <s v="Varun Singh"/>
    <x v="6"/>
    <x v="0"/>
    <s v="Dell Inspiron 15"/>
    <n v="4"/>
    <n v="220000"/>
    <n v="0.1"/>
    <n v="26932.01"/>
    <b v="0"/>
  </r>
  <r>
    <n v="100475"/>
    <x v="254"/>
    <s v="C1111"/>
    <s v="Neha Gupta"/>
    <x v="3"/>
    <x v="1"/>
    <s v="Dell Optical Mouse"/>
    <n v="3"/>
    <n v="1500"/>
    <n v="0.05"/>
    <n v="266.19"/>
    <b v="0"/>
  </r>
  <r>
    <n v="100476"/>
    <x v="106"/>
    <s v="C1249"/>
    <s v="Amit Kumar"/>
    <x v="3"/>
    <x v="3"/>
    <s v="boAt Rockerz 550"/>
    <n v="1"/>
    <n v="2000"/>
    <n v="0.05"/>
    <n v="430.01"/>
    <b v="0"/>
  </r>
  <r>
    <n v="100477"/>
    <x v="255"/>
    <s v="C1244"/>
    <s v="Rohan Desai"/>
    <x v="1"/>
    <x v="2"/>
    <s v="iPad 10th Gen"/>
    <n v="1"/>
    <n v="38000"/>
    <n v="0.05"/>
    <n v="6739.03"/>
    <b v="0"/>
  </r>
  <r>
    <n v="100478"/>
    <x v="152"/>
    <s v="C1237"/>
    <s v="Siddharth Rao"/>
    <x v="5"/>
    <x v="2"/>
    <s v="iPad 10th Gen"/>
    <n v="2"/>
    <n v="76000"/>
    <n v="0.2"/>
    <n v="14964.74"/>
    <b v="0"/>
  </r>
  <r>
    <n v="100479"/>
    <x v="29"/>
    <s v="C1217"/>
    <s v="Meera Kapoor"/>
    <x v="8"/>
    <x v="3"/>
    <s v="boAt Rockerz 550"/>
    <n v="1"/>
    <n v="2000"/>
    <n v="0.2"/>
    <n v="250.12"/>
    <b v="0"/>
  </r>
  <r>
    <n v="100480"/>
    <x v="186"/>
    <s v="C1121"/>
    <s v="Ananya Verma"/>
    <x v="5"/>
    <x v="1"/>
    <s v="Razer DeathAdder Essential"/>
    <n v="4"/>
    <n v="7200"/>
    <n v="0.2"/>
    <n v="814.98"/>
    <b v="0"/>
  </r>
  <r>
    <n v="100481"/>
    <x v="161"/>
    <s v="C1219"/>
    <s v="Siddharth Rao"/>
    <x v="6"/>
    <x v="1"/>
    <s v="Dell Optical Mouse"/>
    <n v="3"/>
    <n v="1500"/>
    <n v="0.05"/>
    <n v="246.31"/>
    <b v="0"/>
  </r>
  <r>
    <n v="100482"/>
    <x v="206"/>
    <s v="C1149"/>
    <s v="Rohan Desai"/>
    <x v="6"/>
    <x v="3"/>
    <s v="Sony WH-CH520"/>
    <n v="4"/>
    <n v="18000"/>
    <n v="0.05"/>
    <n v="3333.81"/>
    <b v="0"/>
  </r>
  <r>
    <n v="100483"/>
    <x v="256"/>
    <s v="C1113"/>
    <s v="Sneha Iyer"/>
    <x v="8"/>
    <x v="1"/>
    <s v="Dell Optical Mouse"/>
    <n v="2"/>
    <n v="1000"/>
    <n v="0.05"/>
    <n v="211.03"/>
    <b v="0"/>
  </r>
  <r>
    <n v="100484"/>
    <x v="128"/>
    <s v="C1128"/>
    <s v="Karan Malhotra"/>
    <x v="4"/>
    <x v="3"/>
    <s v="JBL Tune 510BT"/>
    <n v="2"/>
    <n v="6400"/>
    <n v="0.15"/>
    <n v="1285.03"/>
    <b v="0"/>
  </r>
  <r>
    <n v="100485"/>
    <x v="185"/>
    <s v="C1224"/>
    <s v="Karan Malhotra"/>
    <x v="6"/>
    <x v="3"/>
    <s v="boAt Rockerz 550"/>
    <n v="3"/>
    <n v="6000"/>
    <n v="0.15"/>
    <n v="992.05"/>
    <b v="0"/>
  </r>
  <r>
    <n v="100486"/>
    <x v="257"/>
    <s v="C1106"/>
    <s v="Riya Sen"/>
    <x v="1"/>
    <x v="0"/>
    <s v="Lenovo IdeaPad 3"/>
    <n v="1"/>
    <n v="45000"/>
    <n v="0.15"/>
    <n v="5686.46"/>
    <b v="0"/>
  </r>
  <r>
    <n v="100487"/>
    <x v="258"/>
    <s v="C1128"/>
    <s v="Karan Malhotra"/>
    <x v="2"/>
    <x v="2"/>
    <s v="Xiaomi Pad 7"/>
    <n v="2"/>
    <n v="56000"/>
    <n v="0.2"/>
    <n v="6830.07"/>
    <b v="0"/>
  </r>
  <r>
    <n v="100488"/>
    <x v="57"/>
    <s v="C1238"/>
    <s v="Siddharth Rao"/>
    <x v="2"/>
    <x v="2"/>
    <s v="Lenovo Tab P12"/>
    <n v="1"/>
    <n v="26000"/>
    <n v="0.05"/>
    <n v="5759.72"/>
    <b v="0"/>
  </r>
  <r>
    <n v="100489"/>
    <x v="259"/>
    <s v="C1132"/>
    <s v="Amit Kumar"/>
    <x v="0"/>
    <x v="2"/>
    <s v="Xiaomi Pad 7"/>
    <n v="4"/>
    <n v="112000"/>
    <n v="0.2"/>
    <n v="19491.099999999999"/>
    <b v="0"/>
  </r>
  <r>
    <n v="100490"/>
    <x v="208"/>
    <s v="C1233"/>
    <s v="Pooja Joshi"/>
    <x v="0"/>
    <x v="2"/>
    <s v="Lenovo Tab P12"/>
    <n v="1"/>
    <n v="26000"/>
    <n v="0.05"/>
    <n v="4091.77"/>
    <b v="0"/>
  </r>
  <r>
    <n v="100491"/>
    <x v="215"/>
    <s v="C1210"/>
    <s v="Karan Malhotra"/>
    <x v="2"/>
    <x v="0"/>
    <s v="HP Pavilion 14"/>
    <n v="4"/>
    <n v="248000"/>
    <n v="0.1"/>
    <n v="54305.760000000002"/>
    <b v="0"/>
  </r>
  <r>
    <n v="100492"/>
    <x v="119"/>
    <s v="C1178"/>
    <s v="Riya Sen"/>
    <x v="2"/>
    <x v="1"/>
    <s v="Razer DeathAdder Essential"/>
    <n v="4"/>
    <n v="7200"/>
    <n v="0.2"/>
    <n v="1383.48"/>
    <b v="0"/>
  </r>
  <r>
    <n v="100493"/>
    <x v="260"/>
    <s v="C1157"/>
    <s v="Neha Gupta"/>
    <x v="3"/>
    <x v="1"/>
    <s v="HP Wireless Mouse 200"/>
    <n v="1"/>
    <n v="800"/>
    <n v="0.15"/>
    <n v="82.17"/>
    <b v="0"/>
  </r>
  <r>
    <n v="100494"/>
    <x v="156"/>
    <s v="C1125"/>
    <s v="Aditya Nair"/>
    <x v="1"/>
    <x v="3"/>
    <s v="boAt Rockerz 550"/>
    <n v="1"/>
    <n v="2000"/>
    <n v="0.2"/>
    <n v="319.97000000000003"/>
    <b v="0"/>
  </r>
  <r>
    <n v="100495"/>
    <x v="139"/>
    <s v="C1128"/>
    <s v="Karan Malhotra"/>
    <x v="8"/>
    <x v="2"/>
    <s v="Samsung Galaxy Tab S9"/>
    <n v="3"/>
    <n v="174000"/>
    <n v="0.05"/>
    <n v="34966.050000000003"/>
    <b v="0"/>
  </r>
  <r>
    <n v="100496"/>
    <x v="261"/>
    <s v="C1103"/>
    <s v="Meera Kapoor"/>
    <x v="0"/>
    <x v="0"/>
    <s v="HP Pavilion 14"/>
    <n v="1"/>
    <n v="62000"/>
    <n v="0.1"/>
    <n v="12699.07"/>
    <b v="0"/>
  </r>
  <r>
    <n v="100497"/>
    <x v="163"/>
    <s v="C1198"/>
    <s v="Amit Kumar"/>
    <x v="3"/>
    <x v="0"/>
    <s v="Dell Inspiron 15"/>
    <n v="1"/>
    <n v="55000"/>
    <n v="0.1"/>
    <n v="7255.63"/>
    <b v="0"/>
  </r>
  <r>
    <n v="100498"/>
    <x v="262"/>
    <s v="C1240"/>
    <s v="Sneha Iyer"/>
    <x v="3"/>
    <x v="1"/>
    <s v="Logitech G102"/>
    <n v="4"/>
    <n v="6000"/>
    <n v="0.15"/>
    <n v="1019.83"/>
    <b v="0"/>
  </r>
  <r>
    <n v="100499"/>
    <x v="232"/>
    <s v="C1138"/>
    <s v="Sneha Iyer"/>
    <x v="8"/>
    <x v="0"/>
    <s v="Lenovo IdeaPad 3"/>
    <n v="2"/>
    <n v="90000"/>
    <n v="0.2"/>
    <n v="13331.94"/>
    <b v="0"/>
  </r>
  <r>
    <n v="100500"/>
    <x v="50"/>
    <s v="C1114"/>
    <s v="Siddharth Rao"/>
    <x v="3"/>
    <x v="1"/>
    <s v="Dell Optical Mouse"/>
    <n v="4"/>
    <n v="2000"/>
    <n v="0.1"/>
    <n v="344.97"/>
    <b v="0"/>
  </r>
  <r>
    <n v="100501"/>
    <x v="25"/>
    <s v="C1218"/>
    <s v="Ananya Verma"/>
    <x v="5"/>
    <x v="3"/>
    <s v="boAt Rockerz 550"/>
    <n v="2"/>
    <n v="4000"/>
    <n v="0.15"/>
    <n v="479.02"/>
    <b v="0"/>
  </r>
  <r>
    <n v="100502"/>
    <x v="206"/>
    <s v="C1128"/>
    <s v="Karan Malhotra"/>
    <x v="1"/>
    <x v="1"/>
    <s v="HP Wireless Mouse 200"/>
    <n v="2"/>
    <n v="1600"/>
    <n v="0.2"/>
    <n v="193.12"/>
    <b v="0"/>
  </r>
  <r>
    <n v="100503"/>
    <x v="126"/>
    <s v="C1174"/>
    <s v="Meera Kapoor"/>
    <x v="2"/>
    <x v="1"/>
    <s v="Dell Optical Mouse"/>
    <n v="1"/>
    <n v="500"/>
    <n v="0.05"/>
    <n v="63.89"/>
    <b v="0"/>
  </r>
  <r>
    <n v="100504"/>
    <x v="21"/>
    <s v="C1215"/>
    <s v="Riya Sen"/>
    <x v="6"/>
    <x v="0"/>
    <s v="Dell Inspiron 15"/>
    <n v="2"/>
    <n v="110000"/>
    <n v="0.2"/>
    <n v="14904.36"/>
    <b v="0"/>
  </r>
  <r>
    <n v="100505"/>
    <x v="40"/>
    <s v="C1131"/>
    <s v="Karan Malhotra"/>
    <x v="8"/>
    <x v="3"/>
    <s v="Sony WH-CH520"/>
    <n v="2"/>
    <n v="9000"/>
    <n v="0.15"/>
    <n v="1664.64"/>
    <b v="0"/>
  </r>
  <r>
    <n v="100506"/>
    <x v="69"/>
    <s v="C1229"/>
    <s v="Riya Sen"/>
    <x v="2"/>
    <x v="1"/>
    <s v="HP Wireless Mouse 200"/>
    <n v="1"/>
    <n v="800"/>
    <n v="0.05"/>
    <n v="114.61"/>
    <b v="0"/>
  </r>
  <r>
    <n v="100507"/>
    <x v="252"/>
    <s v="C1183"/>
    <s v="Rahul Sharma"/>
    <x v="2"/>
    <x v="0"/>
    <s v="Apple MacBook Air"/>
    <n v="1"/>
    <n v="85000"/>
    <n v="0.2"/>
    <n v="16373.64"/>
    <b v="0"/>
  </r>
  <r>
    <n v="100508"/>
    <x v="263"/>
    <s v="C1121"/>
    <s v="Ananya Verma"/>
    <x v="4"/>
    <x v="2"/>
    <s v="Samsung Galaxy Tab S9"/>
    <n v="2"/>
    <n v="116000"/>
    <n v="0.1"/>
    <n v="12787.98"/>
    <b v="0"/>
  </r>
  <r>
    <n v="100509"/>
    <x v="180"/>
    <s v="C1126"/>
    <s v="Vikram Reddy"/>
    <x v="5"/>
    <x v="3"/>
    <s v="JBL Tune 510BT"/>
    <n v="2"/>
    <n v="6400"/>
    <n v="0.2"/>
    <n v="1130.4000000000001"/>
    <b v="0"/>
  </r>
  <r>
    <n v="100510"/>
    <x v="166"/>
    <s v="C1180"/>
    <s v="Meera Kapoor"/>
    <x v="8"/>
    <x v="1"/>
    <s v="HP Wireless Mouse 200"/>
    <n v="3"/>
    <n v="2400"/>
    <n v="0.2"/>
    <n v="237.91"/>
    <b v="0"/>
  </r>
  <r>
    <n v="100511"/>
    <x v="200"/>
    <s v="C1225"/>
    <s v="Riya Sen"/>
    <x v="3"/>
    <x v="1"/>
    <s v="Razer DeathAdder Essential"/>
    <n v="3"/>
    <n v="5400"/>
    <n v="0.2"/>
    <n v="1042.49"/>
    <b v="0"/>
  </r>
  <r>
    <n v="100512"/>
    <x v="44"/>
    <s v="C1191"/>
    <s v="Vikram Reddy"/>
    <x v="6"/>
    <x v="3"/>
    <s v="JBL Tune 510BT"/>
    <n v="1"/>
    <n v="3200"/>
    <n v="0.1"/>
    <n v="599.63"/>
    <b v="0"/>
  </r>
  <r>
    <n v="100513"/>
    <x v="242"/>
    <s v="C1120"/>
    <s v="Vikram Reddy"/>
    <x v="8"/>
    <x v="2"/>
    <s v="Lenovo Tab P12"/>
    <n v="2"/>
    <n v="52000"/>
    <n v="0.1"/>
    <n v="11378.53"/>
    <b v="0"/>
  </r>
  <r>
    <n v="100514"/>
    <x v="264"/>
    <s v="C1146"/>
    <s v="Aditya Nair"/>
    <x v="3"/>
    <x v="1"/>
    <s v="Dell Optical Mouse"/>
    <n v="4"/>
    <n v="2000"/>
    <n v="0.1"/>
    <n v="280.93"/>
    <b v="0"/>
  </r>
  <r>
    <n v="100515"/>
    <x v="265"/>
    <s v="C1200"/>
    <s v="Priya Patel"/>
    <x v="2"/>
    <x v="1"/>
    <s v="Dell Optical Mouse"/>
    <n v="2"/>
    <n v="1000"/>
    <n v="0.05"/>
    <n v="115.27"/>
    <b v="0"/>
  </r>
  <r>
    <n v="100516"/>
    <x v="266"/>
    <s v="C1183"/>
    <s v="Rahul Sharma"/>
    <x v="6"/>
    <x v="3"/>
    <s v="boAt Rockerz 550"/>
    <n v="1"/>
    <n v="2000"/>
    <n v="0.2"/>
    <n v="321.52"/>
    <b v="0"/>
  </r>
  <r>
    <n v="100517"/>
    <x v="267"/>
    <s v="C1105"/>
    <s v="Siddharth Rao"/>
    <x v="3"/>
    <x v="2"/>
    <s v="iPad 10th Gen"/>
    <n v="2"/>
    <n v="76000"/>
    <n v="0.2"/>
    <n v="9983.14"/>
    <b v="0"/>
  </r>
  <r>
    <n v="100518"/>
    <x v="102"/>
    <s v="C1246"/>
    <s v="Rahul Sharma"/>
    <x v="1"/>
    <x v="3"/>
    <s v="Realme Buds Wireless 3"/>
    <n v="3"/>
    <n v="5400"/>
    <n v="0.2"/>
    <n v="665"/>
    <b v="0"/>
  </r>
  <r>
    <n v="100519"/>
    <x v="202"/>
    <s v="C1230"/>
    <s v="Rahul Sharma"/>
    <x v="3"/>
    <x v="2"/>
    <s v="Lenovo Tab P12"/>
    <n v="4"/>
    <n v="104000"/>
    <n v="0.05"/>
    <n v="23871.360000000001"/>
    <b v="0"/>
  </r>
  <r>
    <n v="100520"/>
    <x v="268"/>
    <s v="C1100"/>
    <s v="Neha Gupta"/>
    <x v="4"/>
    <x v="3"/>
    <s v="Realme Buds Wireless 3"/>
    <n v="4"/>
    <n v="7200"/>
    <n v="0.1"/>
    <n v="1559.88"/>
    <b v="0"/>
  </r>
  <r>
    <n v="100521"/>
    <x v="269"/>
    <s v="C1157"/>
    <s v="Neha Gupta"/>
    <x v="5"/>
    <x v="3"/>
    <s v="JBL Tune 510BT"/>
    <n v="1"/>
    <n v="3200"/>
    <n v="0.15"/>
    <n v="383.96"/>
    <b v="0"/>
  </r>
  <r>
    <n v="100522"/>
    <x v="270"/>
    <s v="C1223"/>
    <s v="Karan Malhotra"/>
    <x v="2"/>
    <x v="3"/>
    <s v="JBL Tune 510BT"/>
    <n v="4"/>
    <n v="12800"/>
    <n v="0.15"/>
    <n v="2674.85"/>
    <b v="0"/>
  </r>
  <r>
    <n v="100523"/>
    <x v="271"/>
    <s v="C1114"/>
    <s v="Siddharth Rao"/>
    <x v="3"/>
    <x v="0"/>
    <s v="HP Pavilion 14"/>
    <n v="3"/>
    <n v="186000"/>
    <n v="0.1"/>
    <n v="20197.39"/>
    <b v="0"/>
  </r>
  <r>
    <n v="100524"/>
    <x v="272"/>
    <s v="C1163"/>
    <s v="Pooja Joshi"/>
    <x v="5"/>
    <x v="2"/>
    <s v="Samsung Galaxy Tab S9"/>
    <n v="1"/>
    <n v="58000"/>
    <n v="0.1"/>
    <n v="10658.05"/>
    <b v="0"/>
  </r>
  <r>
    <n v="100525"/>
    <x v="28"/>
    <s v="C1124"/>
    <s v="Karan Malhotra"/>
    <x v="0"/>
    <x v="3"/>
    <s v="Sony WH-CH520"/>
    <n v="3"/>
    <n v="13500"/>
    <n v="0.15"/>
    <n v="1815.97"/>
    <b v="0"/>
  </r>
  <r>
    <n v="100526"/>
    <x v="249"/>
    <s v="C1123"/>
    <s v="Siddharth Rao"/>
    <x v="0"/>
    <x v="1"/>
    <s v="Razer DeathAdder Essential"/>
    <n v="3"/>
    <n v="5400"/>
    <n v="0.2"/>
    <n v="958.81"/>
    <b v="0"/>
  </r>
  <r>
    <n v="100527"/>
    <x v="106"/>
    <s v="C1111"/>
    <s v="Neha Gupta"/>
    <x v="5"/>
    <x v="1"/>
    <s v="Dell Optical Mouse"/>
    <n v="1"/>
    <n v="500"/>
    <n v="0.05"/>
    <n v="72.400000000000006"/>
    <b v="0"/>
  </r>
  <r>
    <n v="100528"/>
    <x v="84"/>
    <s v="C1117"/>
    <s v="Siddharth Rao"/>
    <x v="5"/>
    <x v="1"/>
    <s v="Razer DeathAdder Essential"/>
    <n v="3"/>
    <n v="5400"/>
    <n v="0.15"/>
    <n v="763.68"/>
    <b v="0"/>
  </r>
  <r>
    <n v="100529"/>
    <x v="178"/>
    <s v="C1114"/>
    <s v="Siddharth Rao"/>
    <x v="4"/>
    <x v="3"/>
    <s v="JBL Tune 510BT"/>
    <n v="4"/>
    <n v="12800"/>
    <n v="0.15"/>
    <n v="1728.3"/>
    <b v="0"/>
  </r>
  <r>
    <n v="100530"/>
    <x v="262"/>
    <s v="C1126"/>
    <s v="Vikram Reddy"/>
    <x v="1"/>
    <x v="3"/>
    <s v="boAt Rockerz 550"/>
    <n v="2"/>
    <n v="4000"/>
    <n v="0.05"/>
    <n v="816.48"/>
    <b v="0"/>
  </r>
  <r>
    <n v="100531"/>
    <x v="236"/>
    <s v="C1171"/>
    <s v="Priya Patel"/>
    <x v="2"/>
    <x v="1"/>
    <s v="Razer DeathAdder Essential"/>
    <n v="1"/>
    <n v="1800"/>
    <n v="0.05"/>
    <n v="397.08"/>
    <b v="0"/>
  </r>
  <r>
    <n v="100532"/>
    <x v="80"/>
    <s v="C1159"/>
    <s v="Pooja Joshi"/>
    <x v="8"/>
    <x v="3"/>
    <s v="Sony WH-CH520"/>
    <n v="1"/>
    <n v="4500"/>
    <n v="0.1"/>
    <n v="741.78"/>
    <b v="0"/>
  </r>
  <r>
    <n v="100533"/>
    <x v="84"/>
    <s v="C1244"/>
    <s v="Rohan Desai"/>
    <x v="4"/>
    <x v="3"/>
    <s v="Sony WH-CH520"/>
    <n v="1"/>
    <n v="4500"/>
    <n v="0.15"/>
    <n v="931.34"/>
    <b v="0"/>
  </r>
  <r>
    <n v="100534"/>
    <x v="162"/>
    <s v="C1192"/>
    <s v="Amit Kumar"/>
    <x v="1"/>
    <x v="2"/>
    <s v="Lenovo Tab P12"/>
    <n v="3"/>
    <n v="78000"/>
    <n v="0.1"/>
    <n v="14193.81"/>
    <b v="0"/>
  </r>
  <r>
    <n v="100535"/>
    <x v="101"/>
    <s v="C1152"/>
    <s v="Varun Singh"/>
    <x v="5"/>
    <x v="3"/>
    <s v="boAt Rockerz 550"/>
    <n v="2"/>
    <n v="4000"/>
    <n v="0.05"/>
    <n v="631.44000000000005"/>
    <b v="0"/>
  </r>
  <r>
    <n v="100536"/>
    <x v="144"/>
    <s v="C1107"/>
    <s v="Ananya Verma"/>
    <x v="8"/>
    <x v="1"/>
    <s v="Dell Optical Mouse"/>
    <n v="4"/>
    <n v="2000"/>
    <n v="0.15"/>
    <n v="207.35"/>
    <b v="0"/>
  </r>
  <r>
    <n v="100537"/>
    <x v="247"/>
    <s v="C1178"/>
    <s v="Riya Sen"/>
    <x v="5"/>
    <x v="1"/>
    <s v="Razer DeathAdder Essential"/>
    <n v="1"/>
    <n v="1800"/>
    <n v="0.2"/>
    <n v="336.23"/>
    <b v="0"/>
  </r>
  <r>
    <n v="100538"/>
    <x v="207"/>
    <s v="C1126"/>
    <s v="Vikram Reddy"/>
    <x v="5"/>
    <x v="3"/>
    <s v="JBL Tune 510BT"/>
    <n v="4"/>
    <n v="12800"/>
    <n v="0.15"/>
    <n v="1886.72"/>
    <b v="0"/>
  </r>
  <r>
    <n v="100539"/>
    <x v="59"/>
    <s v="C1149"/>
    <s v="Rohan Desai"/>
    <x v="0"/>
    <x v="2"/>
    <s v="Xiaomi Pad 7"/>
    <n v="4"/>
    <n v="112000"/>
    <n v="0.05"/>
    <n v="13912.38"/>
    <b v="0"/>
  </r>
  <r>
    <n v="100540"/>
    <x v="60"/>
    <s v="C1230"/>
    <s v="Rahul Sharma"/>
    <x v="0"/>
    <x v="1"/>
    <s v="Logitech G102"/>
    <n v="4"/>
    <n v="6000"/>
    <n v="0.05"/>
    <n v="757.16"/>
    <b v="0"/>
  </r>
  <r>
    <n v="100541"/>
    <x v="155"/>
    <s v="C1192"/>
    <s v="Amit Kumar"/>
    <x v="8"/>
    <x v="0"/>
    <s v="Apple MacBook Air"/>
    <n v="4"/>
    <n v="340000"/>
    <n v="0.15"/>
    <n v="71519.95"/>
    <b v="0"/>
  </r>
  <r>
    <n v="100542"/>
    <x v="273"/>
    <s v="C1123"/>
    <s v="Siddharth Rao"/>
    <x v="4"/>
    <x v="0"/>
    <s v="Apple MacBook Air"/>
    <n v="1"/>
    <n v="85000"/>
    <n v="0.15"/>
    <n v="14257.1"/>
    <b v="0"/>
  </r>
  <r>
    <n v="100543"/>
    <x v="204"/>
    <s v="C1159"/>
    <s v="Pooja Joshi"/>
    <x v="0"/>
    <x v="0"/>
    <s v="Lenovo IdeaPad 3"/>
    <n v="3"/>
    <n v="135000"/>
    <n v="0.1"/>
    <n v="28218.44"/>
    <b v="0"/>
  </r>
  <r>
    <n v="100544"/>
    <x v="52"/>
    <s v="C1221"/>
    <s v="Pooja Joshi"/>
    <x v="2"/>
    <x v="3"/>
    <s v="Realme Buds Wireless 3"/>
    <n v="3"/>
    <n v="5400"/>
    <n v="0.1"/>
    <n v="1082"/>
    <b v="0"/>
  </r>
  <r>
    <n v="100545"/>
    <x v="162"/>
    <s v="C1230"/>
    <s v="Rahul Sharma"/>
    <x v="5"/>
    <x v="3"/>
    <s v="JBL Tune 510BT"/>
    <n v="4"/>
    <n v="12800"/>
    <n v="0.05"/>
    <n v="1848.46"/>
    <b v="0"/>
  </r>
  <r>
    <n v="100546"/>
    <x v="54"/>
    <s v="C1247"/>
    <s v="Sneha Iyer"/>
    <x v="6"/>
    <x v="3"/>
    <s v="Sony WH-CH520"/>
    <n v="2"/>
    <n v="9000"/>
    <n v="0.05"/>
    <n v="1061.32"/>
    <b v="0"/>
  </r>
  <r>
    <n v="100547"/>
    <x v="178"/>
    <s v="C1145"/>
    <s v="Aditya Nair"/>
    <x v="3"/>
    <x v="2"/>
    <s v="Xiaomi Pad 7"/>
    <n v="4"/>
    <n v="112000"/>
    <n v="0.15"/>
    <n v="13209.97"/>
    <b v="0"/>
  </r>
  <r>
    <n v="100548"/>
    <x v="43"/>
    <s v="C1114"/>
    <s v="Siddharth Rao"/>
    <x v="8"/>
    <x v="1"/>
    <s v="Dell Optical Mouse"/>
    <n v="1"/>
    <n v="500"/>
    <n v="0.2"/>
    <n v="75.23"/>
    <b v="0"/>
  </r>
  <r>
    <n v="100549"/>
    <x v="178"/>
    <s v="C1116"/>
    <s v="Varun Singh"/>
    <x v="8"/>
    <x v="2"/>
    <s v="Lenovo Tab P12"/>
    <n v="1"/>
    <n v="26000"/>
    <n v="0.15"/>
    <n v="4302.3599999999997"/>
    <b v="0"/>
  </r>
  <r>
    <n v="100550"/>
    <x v="144"/>
    <s v="C1225"/>
    <s v="Riya Sen"/>
    <x v="0"/>
    <x v="0"/>
    <s v="HP Pavilion 14"/>
    <n v="2"/>
    <n v="124000"/>
    <n v="0.1"/>
    <n v="25340.1"/>
    <b v="0"/>
  </r>
  <r>
    <n v="100551"/>
    <x v="274"/>
    <s v="C1183"/>
    <s v="Rahul Sharma"/>
    <x v="4"/>
    <x v="0"/>
    <s v="Dell Inspiron 15"/>
    <n v="1"/>
    <n v="55000"/>
    <n v="0.2"/>
    <n v="7353.84"/>
    <b v="0"/>
  </r>
  <r>
    <n v="100552"/>
    <x v="275"/>
    <s v="C1108"/>
    <s v="Neha Gupta"/>
    <x v="5"/>
    <x v="1"/>
    <s v="Logitech G102"/>
    <n v="1"/>
    <n v="1500"/>
    <n v="0.1"/>
    <n v="198.69"/>
    <b v="0"/>
  </r>
  <r>
    <n v="100553"/>
    <x v="276"/>
    <s v="C1162"/>
    <s v="Varun Singh"/>
    <x v="2"/>
    <x v="0"/>
    <s v="ASUS Vivobook 15"/>
    <n v="4"/>
    <n v="200000"/>
    <n v="0.1"/>
    <n v="42961.68"/>
    <b v="0"/>
  </r>
  <r>
    <n v="100554"/>
    <x v="277"/>
    <s v="C1216"/>
    <s v="Priya Patel"/>
    <x v="4"/>
    <x v="1"/>
    <s v="Razer DeathAdder Essential"/>
    <n v="2"/>
    <n v="3600"/>
    <n v="0.15"/>
    <n v="422.73"/>
    <b v="0"/>
  </r>
  <r>
    <n v="100555"/>
    <x v="88"/>
    <s v="C1229"/>
    <s v="Riya Sen"/>
    <x v="1"/>
    <x v="1"/>
    <s v="Razer DeathAdder Essential"/>
    <n v="1"/>
    <n v="1800"/>
    <n v="0.15"/>
    <n v="339.04"/>
    <b v="0"/>
  </r>
  <r>
    <n v="100556"/>
    <x v="102"/>
    <s v="C1187"/>
    <s v="Varun Singh"/>
    <x v="1"/>
    <x v="1"/>
    <s v="Logitech G102"/>
    <n v="4"/>
    <n v="6000"/>
    <n v="0.15"/>
    <n v="623.11"/>
    <b v="0"/>
  </r>
  <r>
    <n v="100557"/>
    <x v="203"/>
    <s v="C1171"/>
    <s v="Priya Patel"/>
    <x v="6"/>
    <x v="0"/>
    <s v="HP Pavilion 14"/>
    <n v="1"/>
    <n v="62000"/>
    <n v="0.15"/>
    <n v="9965.7999999999993"/>
    <b v="0"/>
  </r>
  <r>
    <n v="100558"/>
    <x v="244"/>
    <s v="C1238"/>
    <s v="Siddharth Rao"/>
    <x v="0"/>
    <x v="2"/>
    <s v="iPad 10th Gen"/>
    <n v="1"/>
    <n v="38000"/>
    <n v="0.1"/>
    <n v="5916.85"/>
    <b v="0"/>
  </r>
  <r>
    <n v="100559"/>
    <x v="17"/>
    <s v="C1163"/>
    <s v="Pooja Joshi"/>
    <x v="0"/>
    <x v="2"/>
    <s v="iPad 10th Gen"/>
    <n v="4"/>
    <n v="152000"/>
    <n v="0.1"/>
    <n v="33686.949999999997"/>
    <b v="0"/>
  </r>
  <r>
    <n v="100560"/>
    <x v="103"/>
    <s v="C1171"/>
    <s v="Priya Patel"/>
    <x v="0"/>
    <x v="0"/>
    <s v="ASUS Vivobook 15"/>
    <n v="2"/>
    <n v="100000"/>
    <n v="0.1"/>
    <n v="11600.87"/>
    <b v="0"/>
  </r>
  <r>
    <n v="100561"/>
    <x v="179"/>
    <s v="C1120"/>
    <s v="Vikram Reddy"/>
    <x v="6"/>
    <x v="3"/>
    <s v="Realme Buds Wireless 3"/>
    <n v="3"/>
    <n v="5400"/>
    <n v="0.15"/>
    <n v="916.46"/>
    <b v="0"/>
  </r>
  <r>
    <n v="100562"/>
    <x v="196"/>
    <s v="C1117"/>
    <s v="Siddharth Rao"/>
    <x v="1"/>
    <x v="1"/>
    <s v="HP Wireless Mouse 200"/>
    <n v="4"/>
    <n v="3200"/>
    <n v="0.15"/>
    <n v="353.56"/>
    <b v="0"/>
  </r>
  <r>
    <n v="100563"/>
    <x v="64"/>
    <s v="C1163"/>
    <s v="Pooja Joshi"/>
    <x v="4"/>
    <x v="1"/>
    <s v="Dell Optical Mouse"/>
    <n v="4"/>
    <n v="2000"/>
    <n v="0.15"/>
    <n v="293.11"/>
    <b v="0"/>
  </r>
  <r>
    <n v="100564"/>
    <x v="190"/>
    <s v="C1181"/>
    <s v="Rohan Desai"/>
    <x v="6"/>
    <x v="3"/>
    <s v="Realme Buds Wireless 3"/>
    <n v="4"/>
    <n v="7200"/>
    <n v="0.2"/>
    <n v="1149.3399999999999"/>
    <b v="0"/>
  </r>
  <r>
    <n v="100565"/>
    <x v="278"/>
    <s v="C1209"/>
    <s v="Neha Gupta"/>
    <x v="6"/>
    <x v="0"/>
    <s v="Dell Inspiron 15"/>
    <n v="2"/>
    <n v="110000"/>
    <n v="0.05"/>
    <n v="18573.310000000001"/>
    <b v="0"/>
  </r>
  <r>
    <n v="100566"/>
    <x v="38"/>
    <s v="C1194"/>
    <s v="Vikram Reddy"/>
    <x v="4"/>
    <x v="3"/>
    <s v="boAt Rockerz 550"/>
    <n v="2"/>
    <n v="4000"/>
    <n v="0.1"/>
    <n v="683.68"/>
    <b v="0"/>
  </r>
  <r>
    <n v="100567"/>
    <x v="207"/>
    <s v="C1131"/>
    <s v="Karan Malhotra"/>
    <x v="0"/>
    <x v="0"/>
    <s v="Lenovo IdeaPad 3"/>
    <n v="4"/>
    <n v="180000"/>
    <n v="0.15"/>
    <n v="18939.900000000001"/>
    <b v="0"/>
  </r>
  <r>
    <n v="100568"/>
    <x v="81"/>
    <s v="C1110"/>
    <s v="Rohan Desai"/>
    <x v="2"/>
    <x v="3"/>
    <s v="Sony WH-CH520"/>
    <n v="4"/>
    <n v="18000"/>
    <n v="0.05"/>
    <n v="2541.2600000000002"/>
    <b v="0"/>
  </r>
  <r>
    <n v="100569"/>
    <x v="65"/>
    <s v="C1144"/>
    <s v="Meera Kapoor"/>
    <x v="4"/>
    <x v="3"/>
    <s v="boAt Rockerz 550"/>
    <n v="2"/>
    <n v="4000"/>
    <n v="0.15"/>
    <n v="450.31"/>
    <b v="0"/>
  </r>
  <r>
    <n v="100570"/>
    <x v="96"/>
    <s v="C1132"/>
    <s v="Amit Kumar"/>
    <x v="1"/>
    <x v="3"/>
    <s v="Realme Buds Wireless 3"/>
    <n v="3"/>
    <n v="5400"/>
    <n v="0.15"/>
    <n v="707.34"/>
    <b v="0"/>
  </r>
  <r>
    <n v="100571"/>
    <x v="235"/>
    <s v="C1201"/>
    <s v="Amit Kumar"/>
    <x v="8"/>
    <x v="1"/>
    <s v="Logitech G102"/>
    <n v="2"/>
    <n v="3000"/>
    <n v="0.2"/>
    <n v="303.67"/>
    <b v="0"/>
  </r>
  <r>
    <n v="100572"/>
    <x v="233"/>
    <s v="C1235"/>
    <s v="Rahul Sharma"/>
    <x v="5"/>
    <x v="3"/>
    <s v="JBL Tune 510BT"/>
    <n v="3"/>
    <n v="9600"/>
    <n v="0.1"/>
    <n v="1392.39"/>
    <b v="0"/>
  </r>
  <r>
    <n v="100573"/>
    <x v="83"/>
    <s v="C1110"/>
    <s v="Rohan Desai"/>
    <x v="8"/>
    <x v="3"/>
    <s v="JBL Tune 510BT"/>
    <n v="2"/>
    <n v="6400"/>
    <n v="0.1"/>
    <n v="926.94"/>
    <b v="0"/>
  </r>
  <r>
    <n v="100574"/>
    <x v="211"/>
    <s v="C1187"/>
    <s v="Varun Singh"/>
    <x v="3"/>
    <x v="2"/>
    <s v="Xiaomi Pad 7"/>
    <n v="1"/>
    <n v="28000"/>
    <n v="0.05"/>
    <n v="4569.07"/>
    <b v="0"/>
  </r>
  <r>
    <n v="100575"/>
    <x v="279"/>
    <s v="C1140"/>
    <s v="Meera Kapoor"/>
    <x v="3"/>
    <x v="2"/>
    <s v="iPad 10th Gen"/>
    <n v="2"/>
    <n v="76000"/>
    <n v="0.05"/>
    <n v="14840.5"/>
    <b v="0"/>
  </r>
  <r>
    <n v="100576"/>
    <x v="280"/>
    <s v="C1244"/>
    <s v="Rohan Desai"/>
    <x v="6"/>
    <x v="2"/>
    <s v="Samsung Galaxy Tab S9"/>
    <n v="4"/>
    <n v="232000"/>
    <n v="0.1"/>
    <n v="31493.05"/>
    <b v="0"/>
  </r>
  <r>
    <n v="100577"/>
    <x v="281"/>
    <s v="C1175"/>
    <s v="Karan Malhotra"/>
    <x v="5"/>
    <x v="3"/>
    <s v="Realme Buds Wireless 3"/>
    <n v="1"/>
    <n v="1800"/>
    <n v="0.15"/>
    <n v="283.14"/>
    <b v="0"/>
  </r>
  <r>
    <n v="100578"/>
    <x v="206"/>
    <s v="C1220"/>
    <s v="Amit Kumar"/>
    <x v="8"/>
    <x v="2"/>
    <s v="Samsung Galaxy Tab S9"/>
    <n v="3"/>
    <n v="174000"/>
    <n v="0.2"/>
    <n v="26611.040000000001"/>
    <b v="0"/>
  </r>
  <r>
    <n v="100579"/>
    <x v="59"/>
    <s v="C1145"/>
    <s v="Aditya Nair"/>
    <x v="2"/>
    <x v="0"/>
    <s v="Apple MacBook Air"/>
    <n v="2"/>
    <n v="170000"/>
    <n v="0.2"/>
    <n v="20124.82"/>
    <b v="0"/>
  </r>
  <r>
    <n v="100580"/>
    <x v="244"/>
    <s v="C1179"/>
    <s v="Siddharth Rao"/>
    <x v="0"/>
    <x v="3"/>
    <s v="JBL Tune 510BT"/>
    <n v="3"/>
    <n v="9600"/>
    <n v="0.15"/>
    <n v="1858.06"/>
    <b v="0"/>
  </r>
  <r>
    <n v="100581"/>
    <x v="238"/>
    <s v="C1153"/>
    <s v="Pooja Joshi"/>
    <x v="1"/>
    <x v="1"/>
    <s v="Logitech G102"/>
    <n v="4"/>
    <n v="6000"/>
    <n v="0.2"/>
    <n v="778.39"/>
    <b v="0"/>
  </r>
  <r>
    <n v="100582"/>
    <x v="263"/>
    <s v="C1185"/>
    <s v="Priya Patel"/>
    <x v="3"/>
    <x v="0"/>
    <s v="ASUS Vivobook 15"/>
    <n v="3"/>
    <n v="150000"/>
    <n v="0.05"/>
    <n v="32979.480000000003"/>
    <b v="0"/>
  </r>
  <r>
    <n v="100583"/>
    <x v="186"/>
    <s v="C1191"/>
    <s v="Vikram Reddy"/>
    <x v="2"/>
    <x v="3"/>
    <s v="Sony WH-CH520"/>
    <n v="3"/>
    <n v="13500"/>
    <n v="0.1"/>
    <n v="1667.13"/>
    <b v="0"/>
  </r>
  <r>
    <n v="100584"/>
    <x v="176"/>
    <s v="C1247"/>
    <s v="Sneha Iyer"/>
    <x v="1"/>
    <x v="2"/>
    <s v="Lenovo Tab P12"/>
    <n v="3"/>
    <n v="78000"/>
    <n v="0.15"/>
    <n v="11872.5"/>
    <b v="0"/>
  </r>
  <r>
    <n v="100585"/>
    <x v="230"/>
    <s v="C1196"/>
    <s v="Meera Kapoor"/>
    <x v="1"/>
    <x v="2"/>
    <s v="iPad 10th Gen"/>
    <n v="1"/>
    <n v="38000"/>
    <n v="0.2"/>
    <n v="4403.3500000000004"/>
    <b v="0"/>
  </r>
  <r>
    <n v="100586"/>
    <x v="2"/>
    <s v="C1101"/>
    <s v="Varun Singh"/>
    <x v="0"/>
    <x v="2"/>
    <s v="Xiaomi Pad 7"/>
    <n v="2"/>
    <n v="56000"/>
    <n v="0.05"/>
    <n v="8489.8700000000008"/>
    <b v="0"/>
  </r>
  <r>
    <n v="100587"/>
    <x v="80"/>
    <s v="C1132"/>
    <s v="Amit Kumar"/>
    <x v="5"/>
    <x v="0"/>
    <s v="HP Pavilion 14"/>
    <n v="3"/>
    <n v="186000"/>
    <n v="0.05"/>
    <n v="26319.09"/>
    <b v="0"/>
  </r>
  <r>
    <n v="100588"/>
    <x v="223"/>
    <s v="C1176"/>
    <s v="Neha Gupta"/>
    <x v="6"/>
    <x v="1"/>
    <s v="Dell Optical Mouse"/>
    <n v="4"/>
    <n v="2000"/>
    <n v="0.15"/>
    <n v="296.2"/>
    <b v="0"/>
  </r>
  <r>
    <n v="100589"/>
    <x v="1"/>
    <s v="C1215"/>
    <s v="Riya Sen"/>
    <x v="8"/>
    <x v="3"/>
    <s v="Sony WH-CH520"/>
    <n v="1"/>
    <n v="4500"/>
    <n v="0.2"/>
    <n v="627.69000000000005"/>
    <b v="0"/>
  </r>
  <r>
    <n v="100590"/>
    <x v="282"/>
    <s v="C1249"/>
    <s v="Amit Kumar"/>
    <x v="0"/>
    <x v="0"/>
    <s v="HP Pavilion 14"/>
    <n v="2"/>
    <n v="124000"/>
    <n v="0.1"/>
    <n v="14612.52"/>
    <b v="0"/>
  </r>
  <r>
    <n v="100591"/>
    <x v="146"/>
    <s v="C1202"/>
    <s v="Aditya Nair"/>
    <x v="2"/>
    <x v="2"/>
    <s v="Samsung Galaxy Tab S9"/>
    <n v="3"/>
    <n v="174000"/>
    <n v="0.15"/>
    <n v="18067.02"/>
    <b v="0"/>
  </r>
  <r>
    <n v="100592"/>
    <x v="200"/>
    <s v="C1202"/>
    <s v="Aditya Nair"/>
    <x v="6"/>
    <x v="2"/>
    <s v="iPad 10th Gen"/>
    <n v="4"/>
    <n v="152000"/>
    <n v="0.2"/>
    <n v="17169.009999999998"/>
    <b v="0"/>
  </r>
  <r>
    <n v="100593"/>
    <x v="4"/>
    <s v="C1189"/>
    <s v="Aditya Nair"/>
    <x v="2"/>
    <x v="1"/>
    <s v="HP Wireless Mouse 200"/>
    <n v="3"/>
    <n v="2400"/>
    <n v="0.05"/>
    <n v="521.08000000000004"/>
    <b v="0"/>
  </r>
  <r>
    <n v="100594"/>
    <x v="283"/>
    <s v="C1221"/>
    <s v="Pooja Joshi"/>
    <x v="6"/>
    <x v="0"/>
    <s v="ASUS Vivobook 15"/>
    <n v="4"/>
    <n v="200000"/>
    <n v="0.1"/>
    <n v="41920.78"/>
    <b v="0"/>
  </r>
  <r>
    <n v="100595"/>
    <x v="80"/>
    <s v="C1242"/>
    <s v="Rahul Sharma"/>
    <x v="5"/>
    <x v="3"/>
    <s v="boAt Rockerz 550"/>
    <n v="2"/>
    <n v="4000"/>
    <n v="0.1"/>
    <n v="455.69"/>
    <b v="0"/>
  </r>
  <r>
    <n v="100596"/>
    <x v="95"/>
    <s v="C1205"/>
    <s v="Meera Kapoor"/>
    <x v="3"/>
    <x v="1"/>
    <s v="Dell Optical Mouse"/>
    <n v="1"/>
    <n v="500"/>
    <n v="0.15"/>
    <n v="72.709999999999994"/>
    <b v="0"/>
  </r>
  <r>
    <n v="100597"/>
    <x v="149"/>
    <s v="C1218"/>
    <s v="Ananya Verma"/>
    <x v="2"/>
    <x v="0"/>
    <s v="Dell Inspiron 15"/>
    <n v="2"/>
    <n v="110000"/>
    <n v="0.2"/>
    <n v="10689.3"/>
    <b v="0"/>
  </r>
  <r>
    <n v="100598"/>
    <x v="16"/>
    <s v="C1148"/>
    <s v="Aditya Nair"/>
    <x v="0"/>
    <x v="3"/>
    <s v="JBL Tune 510BT"/>
    <n v="3"/>
    <n v="9600"/>
    <n v="0.15"/>
    <n v="1021.91"/>
    <b v="0"/>
  </r>
  <r>
    <n v="100599"/>
    <x v="156"/>
    <s v="C1203"/>
    <s v="Varun Singh"/>
    <x v="6"/>
    <x v="3"/>
    <s v="Realme Buds Wireless 3"/>
    <n v="1"/>
    <n v="1800"/>
    <n v="0.2"/>
    <n v="355.1"/>
    <b v="0"/>
  </r>
  <r>
    <n v="100600"/>
    <x v="284"/>
    <s v="C1160"/>
    <s v="Neha Gupta"/>
    <x v="6"/>
    <x v="2"/>
    <s v="Samsung Galaxy Tab S9"/>
    <n v="3"/>
    <n v="174000"/>
    <n v="0.15"/>
    <n v="31388.38"/>
    <b v="0"/>
  </r>
  <r>
    <n v="100601"/>
    <x v="157"/>
    <s v="C1222"/>
    <s v="Karan Malhotra"/>
    <x v="1"/>
    <x v="1"/>
    <s v="Dell Optical Mouse"/>
    <n v="3"/>
    <n v="1500"/>
    <n v="0.15"/>
    <n v="215.11"/>
    <b v="0"/>
  </r>
  <r>
    <n v="100602"/>
    <x v="285"/>
    <s v="C1233"/>
    <s v="Pooja Joshi"/>
    <x v="1"/>
    <x v="2"/>
    <s v="iPad 10th Gen"/>
    <n v="4"/>
    <n v="152000"/>
    <n v="0.2"/>
    <n v="21328.12"/>
    <b v="0"/>
  </r>
  <r>
    <n v="100603"/>
    <x v="274"/>
    <s v="C1108"/>
    <s v="Neha Gupta"/>
    <x v="4"/>
    <x v="2"/>
    <s v="iPad 10th Gen"/>
    <n v="1"/>
    <n v="38000"/>
    <n v="0.15"/>
    <n v="4817.91"/>
    <b v="0"/>
  </r>
  <r>
    <n v="100604"/>
    <x v="105"/>
    <s v="C1105"/>
    <s v="Siddharth Rao"/>
    <x v="2"/>
    <x v="3"/>
    <s v="Realme Buds Wireless 3"/>
    <n v="1"/>
    <n v="1800"/>
    <n v="0.2"/>
    <n v="346.97"/>
    <b v="0"/>
  </r>
  <r>
    <n v="100605"/>
    <x v="273"/>
    <s v="C1172"/>
    <s v="Varun Singh"/>
    <x v="1"/>
    <x v="3"/>
    <s v="Realme Buds Wireless 3"/>
    <n v="4"/>
    <n v="7200"/>
    <n v="0.1"/>
    <n v="1061.8699999999999"/>
    <b v="0"/>
  </r>
  <r>
    <n v="100606"/>
    <x v="56"/>
    <s v="C1202"/>
    <s v="Aditya Nair"/>
    <x v="4"/>
    <x v="3"/>
    <s v="boAt Rockerz 550"/>
    <n v="2"/>
    <n v="4000"/>
    <n v="0.15"/>
    <n v="501.32"/>
    <b v="0"/>
  </r>
  <r>
    <n v="100607"/>
    <x v="236"/>
    <s v="C1140"/>
    <s v="Meera Kapoor"/>
    <x v="3"/>
    <x v="2"/>
    <s v="iPad 10th Gen"/>
    <n v="1"/>
    <n v="38000"/>
    <n v="0.2"/>
    <n v="5594.5"/>
    <b v="0"/>
  </r>
  <r>
    <n v="100608"/>
    <x v="286"/>
    <s v="C1213"/>
    <s v="Siddharth Rao"/>
    <x v="3"/>
    <x v="0"/>
    <s v="Apple MacBook Air"/>
    <n v="3"/>
    <n v="255000"/>
    <n v="0.15"/>
    <n v="37128.06"/>
    <b v="0"/>
  </r>
  <r>
    <n v="100609"/>
    <x v="21"/>
    <s v="C1107"/>
    <s v="Ananya Verma"/>
    <x v="1"/>
    <x v="2"/>
    <s v="Lenovo Tab P12"/>
    <n v="3"/>
    <n v="78000"/>
    <n v="0.05"/>
    <n v="14402.04"/>
    <b v="0"/>
  </r>
  <r>
    <n v="100610"/>
    <x v="287"/>
    <s v="C1171"/>
    <s v="Priya Patel"/>
    <x v="2"/>
    <x v="3"/>
    <s v="boAt Rockerz 550"/>
    <n v="3"/>
    <n v="6000"/>
    <n v="0.15"/>
    <n v="714.04"/>
    <b v="0"/>
  </r>
  <r>
    <n v="100611"/>
    <x v="131"/>
    <s v="C1191"/>
    <s v="Vikram Reddy"/>
    <x v="6"/>
    <x v="3"/>
    <s v="boAt Rockerz 550"/>
    <n v="2"/>
    <n v="4000"/>
    <n v="0.15"/>
    <n v="567.6"/>
    <b v="0"/>
  </r>
  <r>
    <n v="100612"/>
    <x v="231"/>
    <s v="C1161"/>
    <s v="Priya Patel"/>
    <x v="8"/>
    <x v="2"/>
    <s v="Lenovo Tab P12"/>
    <n v="4"/>
    <n v="104000"/>
    <n v="0.1"/>
    <n v="11921.69"/>
    <b v="0"/>
  </r>
  <r>
    <n v="100613"/>
    <x v="259"/>
    <s v="C1183"/>
    <s v="Rahul Sharma"/>
    <x v="5"/>
    <x v="3"/>
    <s v="Sony WH-CH520"/>
    <n v="1"/>
    <n v="4500"/>
    <n v="0.15"/>
    <n v="805.66"/>
    <b v="0"/>
  </r>
  <r>
    <n v="100614"/>
    <x v="83"/>
    <s v="C1161"/>
    <s v="Priya Patel"/>
    <x v="2"/>
    <x v="0"/>
    <s v="Dell Inspiron 15"/>
    <n v="2"/>
    <n v="110000"/>
    <n v="0.1"/>
    <n v="15223.99"/>
    <b v="0"/>
  </r>
  <r>
    <n v="100615"/>
    <x v="208"/>
    <s v="C1210"/>
    <s v="Karan Malhotra"/>
    <x v="5"/>
    <x v="2"/>
    <s v="Lenovo Tab P12"/>
    <n v="4"/>
    <n v="104000"/>
    <n v="0.15"/>
    <n v="14024.42"/>
    <b v="0"/>
  </r>
  <r>
    <n v="100616"/>
    <x v="245"/>
    <s v="C1226"/>
    <s v="Pooja Joshi"/>
    <x v="0"/>
    <x v="1"/>
    <s v="HP Wireless Mouse 200"/>
    <n v="3"/>
    <n v="2400"/>
    <n v="0.1"/>
    <n v="326.74"/>
    <b v="0"/>
  </r>
  <r>
    <n v="100617"/>
    <x v="109"/>
    <s v="C1106"/>
    <s v="Riya Sen"/>
    <x v="3"/>
    <x v="1"/>
    <s v="HP Wireless Mouse 200"/>
    <n v="1"/>
    <n v="800"/>
    <n v="0.2"/>
    <n v="132.80000000000001"/>
    <b v="0"/>
  </r>
  <r>
    <n v="100618"/>
    <x v="221"/>
    <s v="C1183"/>
    <s v="Rahul Sharma"/>
    <x v="1"/>
    <x v="3"/>
    <s v="Sony WH-CH520"/>
    <n v="2"/>
    <n v="9000"/>
    <n v="0.05"/>
    <n v="1199.75"/>
    <b v="0"/>
  </r>
  <r>
    <n v="100619"/>
    <x v="288"/>
    <s v="C1231"/>
    <s v="Pooja Joshi"/>
    <x v="1"/>
    <x v="2"/>
    <s v="iPad 10th Gen"/>
    <n v="1"/>
    <n v="38000"/>
    <n v="0.1"/>
    <n v="7088.47"/>
    <b v="0"/>
  </r>
  <r>
    <n v="100620"/>
    <x v="31"/>
    <s v="C1233"/>
    <s v="Pooja Joshi"/>
    <x v="5"/>
    <x v="0"/>
    <s v="Lenovo IdeaPad 3"/>
    <n v="2"/>
    <n v="90000"/>
    <n v="0.05"/>
    <n v="21292.55"/>
    <b v="0"/>
  </r>
  <r>
    <n v="100621"/>
    <x v="242"/>
    <s v="C1157"/>
    <s v="Neha Gupta"/>
    <x v="6"/>
    <x v="2"/>
    <s v="iPad 10th Gen"/>
    <n v="3"/>
    <n v="114000"/>
    <n v="0.2"/>
    <n v="22530.63"/>
    <b v="0"/>
  </r>
  <r>
    <n v="100622"/>
    <x v="166"/>
    <s v="C1121"/>
    <s v="Ananya Verma"/>
    <x v="5"/>
    <x v="2"/>
    <s v="iPad 10th Gen"/>
    <n v="4"/>
    <n v="152000"/>
    <n v="0.15"/>
    <n v="25208.85"/>
    <b v="0"/>
  </r>
  <r>
    <n v="100623"/>
    <x v="73"/>
    <s v="C1226"/>
    <s v="Pooja Joshi"/>
    <x v="0"/>
    <x v="0"/>
    <s v="Dell Inspiron 15"/>
    <n v="3"/>
    <n v="165000"/>
    <n v="0.05"/>
    <n v="34460.03"/>
    <b v="0"/>
  </r>
  <r>
    <n v="100624"/>
    <x v="25"/>
    <s v="C1102"/>
    <s v="Riya Sen"/>
    <x v="6"/>
    <x v="1"/>
    <s v="Dell Optical Mouse"/>
    <n v="2"/>
    <n v="1000"/>
    <n v="0.1"/>
    <n v="180.4"/>
    <b v="0"/>
  </r>
  <r>
    <n v="100625"/>
    <x v="245"/>
    <s v="C1226"/>
    <s v="Pooja Joshi"/>
    <x v="0"/>
    <x v="3"/>
    <s v="boAt Rockerz 550"/>
    <n v="4"/>
    <n v="8000"/>
    <n v="0.2"/>
    <n v="1304.52"/>
    <b v="0"/>
  </r>
  <r>
    <n v="100626"/>
    <x v="94"/>
    <s v="C1140"/>
    <s v="Meera Kapoor"/>
    <x v="8"/>
    <x v="1"/>
    <s v="Logitech G102"/>
    <n v="3"/>
    <n v="4500"/>
    <n v="0.15"/>
    <n v="597.70000000000005"/>
    <b v="0"/>
  </r>
  <r>
    <n v="100627"/>
    <x v="241"/>
    <s v="C1205"/>
    <s v="Meera Kapoor"/>
    <x v="3"/>
    <x v="1"/>
    <s v="HP Wireless Mouse 200"/>
    <n v="1"/>
    <n v="800"/>
    <n v="0.2"/>
    <n v="126.99"/>
    <b v="0"/>
  </r>
  <r>
    <n v="100628"/>
    <x v="12"/>
    <s v="C1113"/>
    <s v="Sneha Iyer"/>
    <x v="1"/>
    <x v="1"/>
    <s v="Razer DeathAdder Essential"/>
    <n v="4"/>
    <n v="7200"/>
    <n v="0.15"/>
    <n v="1109.0899999999999"/>
    <b v="0"/>
  </r>
  <r>
    <n v="100629"/>
    <x v="167"/>
    <s v="C1111"/>
    <s v="Neha Gupta"/>
    <x v="1"/>
    <x v="1"/>
    <s v="Dell Optical Mouse"/>
    <n v="4"/>
    <n v="2000"/>
    <n v="0.05"/>
    <n v="389.07"/>
    <b v="0"/>
  </r>
  <r>
    <n v="100630"/>
    <x v="150"/>
    <s v="C1186"/>
    <s v="Siddharth Rao"/>
    <x v="8"/>
    <x v="0"/>
    <s v="HP Pavilion 14"/>
    <n v="3"/>
    <n v="186000"/>
    <n v="0.1"/>
    <n v="33198.949999999997"/>
    <b v="0"/>
  </r>
  <r>
    <n v="100631"/>
    <x v="285"/>
    <s v="C1111"/>
    <s v="Neha Gupta"/>
    <x v="4"/>
    <x v="3"/>
    <s v="Realme Buds Wireless 3"/>
    <n v="3"/>
    <n v="5400"/>
    <n v="0.1"/>
    <n v="765.05"/>
    <b v="0"/>
  </r>
  <r>
    <n v="100632"/>
    <x v="289"/>
    <s v="C1240"/>
    <s v="Sneha Iyer"/>
    <x v="3"/>
    <x v="2"/>
    <s v="iPad 10th Gen"/>
    <n v="3"/>
    <n v="114000"/>
    <n v="0.05"/>
    <n v="14897.79"/>
    <b v="0"/>
  </r>
  <r>
    <n v="100633"/>
    <x v="256"/>
    <s v="C1124"/>
    <s v="Karan Malhotra"/>
    <x v="6"/>
    <x v="1"/>
    <s v="Razer DeathAdder Essential"/>
    <n v="3"/>
    <n v="5400"/>
    <n v="0.05"/>
    <n v="1245.1099999999999"/>
    <b v="0"/>
  </r>
  <r>
    <n v="100634"/>
    <x v="279"/>
    <s v="C1144"/>
    <s v="Meera Kapoor"/>
    <x v="8"/>
    <x v="0"/>
    <s v="HP Pavilion 14"/>
    <n v="4"/>
    <n v="248000"/>
    <n v="0.1"/>
    <n v="39233.67"/>
    <b v="0"/>
  </r>
  <r>
    <n v="100635"/>
    <x v="65"/>
    <s v="C1221"/>
    <s v="Pooja Joshi"/>
    <x v="6"/>
    <x v="2"/>
    <s v="Lenovo Tab P12"/>
    <n v="1"/>
    <n v="26000"/>
    <n v="0.2"/>
    <n v="3107.84"/>
    <b v="0"/>
  </r>
  <r>
    <n v="100636"/>
    <x v="224"/>
    <s v="C1246"/>
    <s v="Rahul Sharma"/>
    <x v="5"/>
    <x v="3"/>
    <s v="Sony WH-CH520"/>
    <n v="4"/>
    <n v="18000"/>
    <n v="0.05"/>
    <n v="3442.11"/>
    <b v="0"/>
  </r>
  <r>
    <n v="100637"/>
    <x v="85"/>
    <s v="C1154"/>
    <s v="Rohan Desai"/>
    <x v="2"/>
    <x v="0"/>
    <s v="HP Pavilion 14"/>
    <n v="3"/>
    <n v="186000"/>
    <n v="0.05"/>
    <n v="36144.92"/>
    <b v="0"/>
  </r>
  <r>
    <n v="100638"/>
    <x v="69"/>
    <s v="C1199"/>
    <s v="Karan Malhotra"/>
    <x v="1"/>
    <x v="0"/>
    <s v="ASUS Vivobook 15"/>
    <n v="4"/>
    <n v="200000"/>
    <n v="0.1"/>
    <n v="22652.93"/>
    <b v="0"/>
  </r>
  <r>
    <n v="100639"/>
    <x v="272"/>
    <s v="C1235"/>
    <s v="Rahul Sharma"/>
    <x v="6"/>
    <x v="0"/>
    <s v="HP Pavilion 14"/>
    <n v="4"/>
    <n v="248000"/>
    <n v="0.1"/>
    <n v="44023.62"/>
    <b v="0"/>
  </r>
  <r>
    <n v="100640"/>
    <x v="290"/>
    <s v="C1218"/>
    <s v="Ananya Verma"/>
    <x v="0"/>
    <x v="3"/>
    <s v="Realme Buds Wireless 3"/>
    <n v="1"/>
    <n v="1800"/>
    <n v="0.2"/>
    <n v="178.01"/>
    <b v="0"/>
  </r>
  <r>
    <n v="100641"/>
    <x v="200"/>
    <s v="C1152"/>
    <s v="Varun Singh"/>
    <x v="6"/>
    <x v="2"/>
    <s v="Lenovo Tab P12"/>
    <n v="1"/>
    <n v="26000"/>
    <n v="0.1"/>
    <n v="5369.41"/>
    <b v="0"/>
  </r>
  <r>
    <n v="100642"/>
    <x v="291"/>
    <s v="C1131"/>
    <s v="Karan Malhotra"/>
    <x v="2"/>
    <x v="1"/>
    <s v="Dell Optical Mouse"/>
    <n v="2"/>
    <n v="1000"/>
    <n v="0.05"/>
    <n v="197.1"/>
    <b v="0"/>
  </r>
  <r>
    <n v="100643"/>
    <x v="292"/>
    <s v="C1150"/>
    <s v="Karan Malhotra"/>
    <x v="3"/>
    <x v="3"/>
    <s v="Realme Buds Wireless 3"/>
    <n v="2"/>
    <n v="3600"/>
    <n v="0.15"/>
    <n v="619.16999999999996"/>
    <b v="0"/>
  </r>
  <r>
    <n v="100644"/>
    <x v="207"/>
    <s v="C1143"/>
    <s v="Karan Malhotra"/>
    <x v="1"/>
    <x v="0"/>
    <s v="HP Pavilion 14"/>
    <n v="1"/>
    <n v="62000"/>
    <n v="0.15"/>
    <n v="12424.02"/>
    <b v="0"/>
  </r>
  <r>
    <n v="100645"/>
    <x v="140"/>
    <s v="C1181"/>
    <s v="Rohan Desai"/>
    <x v="5"/>
    <x v="3"/>
    <s v="Realme Buds Wireless 3"/>
    <n v="1"/>
    <n v="1800"/>
    <n v="0.15"/>
    <n v="283.11"/>
    <b v="0"/>
  </r>
  <r>
    <n v="100646"/>
    <x v="178"/>
    <s v="C1245"/>
    <s v="Rohan Desai"/>
    <x v="8"/>
    <x v="2"/>
    <s v="Samsung Galaxy Tab S9"/>
    <n v="2"/>
    <n v="116000"/>
    <n v="0.05"/>
    <n v="21832.67"/>
    <b v="0"/>
  </r>
  <r>
    <n v="100647"/>
    <x v="293"/>
    <s v="C1249"/>
    <s v="Amit Kumar"/>
    <x v="5"/>
    <x v="2"/>
    <s v="Samsung Galaxy Tab S9"/>
    <n v="4"/>
    <n v="232000"/>
    <n v="0.1"/>
    <n v="36092.49"/>
    <b v="0"/>
  </r>
  <r>
    <n v="100648"/>
    <x v="294"/>
    <s v="C1136"/>
    <s v="Pooja Joshi"/>
    <x v="2"/>
    <x v="3"/>
    <s v="Sony WH-CH520"/>
    <n v="4"/>
    <n v="18000"/>
    <n v="0.05"/>
    <n v="2704.12"/>
    <b v="0"/>
  </r>
  <r>
    <n v="100649"/>
    <x v="165"/>
    <s v="C1195"/>
    <s v="Riya Sen"/>
    <x v="1"/>
    <x v="2"/>
    <s v="iPad 10th Gen"/>
    <n v="4"/>
    <n v="152000"/>
    <n v="0.05"/>
    <n v="34227.760000000002"/>
    <b v="0"/>
  </r>
  <r>
    <n v="100650"/>
    <x v="295"/>
    <s v="C1155"/>
    <s v="Ananya Verma"/>
    <x v="6"/>
    <x v="0"/>
    <s v="ASUS Vivobook 15"/>
    <n v="1"/>
    <n v="50000"/>
    <n v="0.2"/>
    <n v="7995.33"/>
    <b v="0"/>
  </r>
  <r>
    <n v="100651"/>
    <x v="59"/>
    <s v="C1204"/>
    <s v="Aditya Nair"/>
    <x v="3"/>
    <x v="2"/>
    <s v="iPad 10th Gen"/>
    <n v="3"/>
    <n v="114000"/>
    <n v="0.2"/>
    <n v="19911.099999999999"/>
    <b v="0"/>
  </r>
  <r>
    <n v="100652"/>
    <x v="153"/>
    <s v="C1158"/>
    <s v="Ananya Verma"/>
    <x v="4"/>
    <x v="3"/>
    <s v="JBL Tune 510BT"/>
    <n v="1"/>
    <n v="3200"/>
    <n v="0.2"/>
    <n v="415.63"/>
    <b v="0"/>
  </r>
  <r>
    <n v="100653"/>
    <x v="296"/>
    <s v="C1230"/>
    <s v="Rahul Sharma"/>
    <x v="3"/>
    <x v="1"/>
    <s v="Razer DeathAdder Essential"/>
    <n v="3"/>
    <n v="5400"/>
    <n v="0.15"/>
    <n v="576.14"/>
    <b v="0"/>
  </r>
  <r>
    <n v="100654"/>
    <x v="106"/>
    <s v="C1134"/>
    <s v="Riya Sen"/>
    <x v="4"/>
    <x v="3"/>
    <s v="Realme Buds Wireless 3"/>
    <n v="1"/>
    <n v="1800"/>
    <n v="0.05"/>
    <n v="391.32"/>
    <b v="0"/>
  </r>
  <r>
    <n v="100655"/>
    <x v="216"/>
    <s v="C1192"/>
    <s v="Amit Kumar"/>
    <x v="0"/>
    <x v="0"/>
    <s v="Lenovo IdeaPad 3"/>
    <n v="1"/>
    <n v="45000"/>
    <n v="0.05"/>
    <n v="7690.17"/>
    <b v="0"/>
  </r>
  <r>
    <n v="100656"/>
    <x v="225"/>
    <s v="C1196"/>
    <s v="Meera Kapoor"/>
    <x v="3"/>
    <x v="3"/>
    <s v="Sony WH-CH520"/>
    <n v="1"/>
    <n v="4500"/>
    <n v="0.05"/>
    <n v="1009.99"/>
    <b v="0"/>
  </r>
  <r>
    <n v="100657"/>
    <x v="297"/>
    <s v="C1234"/>
    <s v="Siddharth Rao"/>
    <x v="1"/>
    <x v="1"/>
    <s v="Dell Optical Mouse"/>
    <n v="4"/>
    <n v="2000"/>
    <n v="0.15"/>
    <n v="270.02999999999997"/>
    <b v="0"/>
  </r>
  <r>
    <n v="100658"/>
    <x v="209"/>
    <s v="C1175"/>
    <s v="Karan Malhotra"/>
    <x v="4"/>
    <x v="1"/>
    <s v="Logitech G102"/>
    <n v="1"/>
    <n v="1500"/>
    <n v="0.15"/>
    <n v="206.49"/>
    <b v="0"/>
  </r>
  <r>
    <n v="100659"/>
    <x v="65"/>
    <s v="C1148"/>
    <s v="Aditya Nair"/>
    <x v="8"/>
    <x v="3"/>
    <s v="JBL Tune 510BT"/>
    <n v="2"/>
    <n v="6400"/>
    <n v="0.1"/>
    <n v="760.16"/>
    <b v="0"/>
  </r>
  <r>
    <n v="100660"/>
    <x v="175"/>
    <s v="C1193"/>
    <s v="Varun Singh"/>
    <x v="1"/>
    <x v="3"/>
    <s v="Realme Buds Wireless 3"/>
    <n v="1"/>
    <n v="1800"/>
    <n v="0.15"/>
    <n v="347.42"/>
    <b v="0"/>
  </r>
  <r>
    <n v="100661"/>
    <x v="6"/>
    <s v="C1123"/>
    <s v="Siddharth Rao"/>
    <x v="8"/>
    <x v="0"/>
    <s v="ASUS Vivobook 15"/>
    <n v="1"/>
    <n v="50000"/>
    <n v="0.1"/>
    <n v="10151.709999999999"/>
    <b v="0"/>
  </r>
  <r>
    <n v="100662"/>
    <x v="81"/>
    <s v="C1247"/>
    <s v="Sneha Iyer"/>
    <x v="3"/>
    <x v="1"/>
    <s v="Razer DeathAdder Essential"/>
    <n v="2"/>
    <n v="3600"/>
    <n v="0.05"/>
    <n v="850.04"/>
    <b v="0"/>
  </r>
  <r>
    <n v="100663"/>
    <x v="298"/>
    <s v="C1136"/>
    <s v="Pooja Joshi"/>
    <x v="8"/>
    <x v="1"/>
    <s v="Logitech G102"/>
    <n v="4"/>
    <n v="6000"/>
    <n v="0.15"/>
    <n v="930.27"/>
    <b v="0"/>
  </r>
  <r>
    <n v="100664"/>
    <x v="36"/>
    <s v="C1103"/>
    <s v="Meera Kapoor"/>
    <x v="4"/>
    <x v="3"/>
    <s v="JBL Tune 510BT"/>
    <n v="4"/>
    <n v="12800"/>
    <n v="0.15"/>
    <n v="2479.16"/>
    <b v="0"/>
  </r>
  <r>
    <n v="100665"/>
    <x v="286"/>
    <s v="C1207"/>
    <s v="Siddharth Rao"/>
    <x v="1"/>
    <x v="2"/>
    <s v="Lenovo Tab P12"/>
    <n v="3"/>
    <n v="78000"/>
    <n v="0.05"/>
    <n v="9736.33"/>
    <b v="0"/>
  </r>
  <r>
    <n v="100666"/>
    <x v="177"/>
    <s v="C1225"/>
    <s v="Riya Sen"/>
    <x v="6"/>
    <x v="3"/>
    <s v="JBL Tune 510BT"/>
    <n v="4"/>
    <n v="12800"/>
    <n v="0.1"/>
    <n v="2077.0100000000002"/>
    <b v="0"/>
  </r>
  <r>
    <n v="100667"/>
    <x v="113"/>
    <s v="C1119"/>
    <s v="Rohan Desai"/>
    <x v="2"/>
    <x v="1"/>
    <s v="Razer DeathAdder Essential"/>
    <n v="1"/>
    <n v="1800"/>
    <n v="0.15"/>
    <n v="246.91"/>
    <b v="0"/>
  </r>
  <r>
    <n v="100668"/>
    <x v="23"/>
    <s v="C1149"/>
    <s v="Rohan Desai"/>
    <x v="4"/>
    <x v="2"/>
    <s v="Xiaomi Pad 7"/>
    <n v="4"/>
    <n v="112000"/>
    <n v="0.1"/>
    <n v="19857.52"/>
    <b v="0"/>
  </r>
  <r>
    <n v="100669"/>
    <x v="274"/>
    <s v="C1195"/>
    <s v="Riya Sen"/>
    <x v="4"/>
    <x v="3"/>
    <s v="JBL Tune 510BT"/>
    <n v="1"/>
    <n v="3200"/>
    <n v="0.15"/>
    <n v="587.54"/>
    <b v="0"/>
  </r>
  <r>
    <n v="100670"/>
    <x v="26"/>
    <s v="C1204"/>
    <s v="Aditya Nair"/>
    <x v="6"/>
    <x v="0"/>
    <s v="Dell Inspiron 15"/>
    <n v="4"/>
    <n v="220000"/>
    <n v="0.2"/>
    <n v="34222.07"/>
    <b v="0"/>
  </r>
  <r>
    <n v="100671"/>
    <x v="203"/>
    <s v="C1216"/>
    <s v="Priya Patel"/>
    <x v="1"/>
    <x v="3"/>
    <s v="boAt Rockerz 550"/>
    <n v="3"/>
    <n v="6000"/>
    <n v="0.2"/>
    <n v="841.79"/>
    <b v="0"/>
  </r>
  <r>
    <n v="100672"/>
    <x v="221"/>
    <s v="C1197"/>
    <s v="Priya Patel"/>
    <x v="1"/>
    <x v="1"/>
    <s v="Razer DeathAdder Essential"/>
    <n v="3"/>
    <n v="5400"/>
    <n v="0.05"/>
    <n v="1136.01"/>
    <b v="0"/>
  </r>
  <r>
    <n v="100673"/>
    <x v="49"/>
    <s v="C1165"/>
    <s v="Aditya Nair"/>
    <x v="5"/>
    <x v="0"/>
    <s v="Lenovo IdeaPad 3"/>
    <n v="1"/>
    <n v="45000"/>
    <n v="0.1"/>
    <n v="6479.14"/>
    <b v="0"/>
  </r>
  <r>
    <n v="100674"/>
    <x v="123"/>
    <s v="C1178"/>
    <s v="Riya Sen"/>
    <x v="3"/>
    <x v="1"/>
    <s v="Logitech G102"/>
    <n v="1"/>
    <n v="1500"/>
    <n v="0.1"/>
    <n v="202.81"/>
    <b v="0"/>
  </r>
  <r>
    <n v="100675"/>
    <x v="192"/>
    <s v="C1105"/>
    <s v="Siddharth Rao"/>
    <x v="8"/>
    <x v="3"/>
    <s v="Realme Buds Wireless 3"/>
    <n v="4"/>
    <n v="7200"/>
    <n v="0.1"/>
    <n v="1218.6500000000001"/>
    <b v="0"/>
  </r>
  <r>
    <n v="100676"/>
    <x v="146"/>
    <s v="C1138"/>
    <s v="Sneha Iyer"/>
    <x v="3"/>
    <x v="1"/>
    <s v="Razer DeathAdder Essential"/>
    <n v="3"/>
    <n v="5400"/>
    <n v="0.15"/>
    <n v="716.59"/>
    <b v="0"/>
  </r>
  <r>
    <n v="100677"/>
    <x v="102"/>
    <s v="C1214"/>
    <s v="Ananya Verma"/>
    <x v="6"/>
    <x v="0"/>
    <s v="Lenovo IdeaPad 3"/>
    <n v="4"/>
    <n v="180000"/>
    <n v="0.15"/>
    <n v="34916.78"/>
    <b v="0"/>
  </r>
  <r>
    <n v="100678"/>
    <x v="143"/>
    <s v="C1224"/>
    <s v="Karan Malhotra"/>
    <x v="3"/>
    <x v="1"/>
    <s v="Dell Optical Mouse"/>
    <n v="3"/>
    <n v="1500"/>
    <n v="0.15"/>
    <n v="164.05"/>
    <b v="0"/>
  </r>
  <r>
    <n v="100679"/>
    <x v="91"/>
    <s v="C1111"/>
    <s v="Neha Gupta"/>
    <x v="6"/>
    <x v="1"/>
    <s v="Razer DeathAdder Essential"/>
    <n v="2"/>
    <n v="3600"/>
    <n v="0.15"/>
    <n v="738.17"/>
    <b v="0"/>
  </r>
  <r>
    <n v="100680"/>
    <x v="175"/>
    <s v="C1230"/>
    <s v="Rahul Sharma"/>
    <x v="1"/>
    <x v="2"/>
    <s v="iPad 10th Gen"/>
    <n v="3"/>
    <n v="114000"/>
    <n v="0.2"/>
    <n v="15676.52"/>
    <b v="0"/>
  </r>
  <r>
    <n v="100681"/>
    <x v="94"/>
    <s v="C1117"/>
    <s v="Siddharth Rao"/>
    <x v="8"/>
    <x v="3"/>
    <s v="Sony WH-CH520"/>
    <n v="1"/>
    <n v="4500"/>
    <n v="0.1"/>
    <n v="567.04"/>
    <b v="0"/>
  </r>
  <r>
    <n v="100682"/>
    <x v="107"/>
    <s v="C1139"/>
    <s v="Sneha Iyer"/>
    <x v="3"/>
    <x v="1"/>
    <s v="Dell Optical Mouse"/>
    <n v="4"/>
    <n v="2000"/>
    <n v="0.15"/>
    <n v="233.99"/>
    <b v="0"/>
  </r>
  <r>
    <n v="100683"/>
    <x v="56"/>
    <s v="C1120"/>
    <s v="Vikram Reddy"/>
    <x v="4"/>
    <x v="1"/>
    <s v="Dell Optical Mouse"/>
    <n v="3"/>
    <n v="1500"/>
    <n v="0.15"/>
    <n v="303.45999999999998"/>
    <b v="0"/>
  </r>
  <r>
    <n v="100684"/>
    <x v="299"/>
    <s v="C1242"/>
    <s v="Rahul Sharma"/>
    <x v="0"/>
    <x v="3"/>
    <s v="boAt Rockerz 550"/>
    <n v="4"/>
    <n v="8000"/>
    <n v="0.1"/>
    <n v="1585.14"/>
    <b v="0"/>
  </r>
  <r>
    <n v="100685"/>
    <x v="300"/>
    <s v="C1198"/>
    <s v="Amit Kumar"/>
    <x v="5"/>
    <x v="3"/>
    <s v="JBL Tune 510BT"/>
    <n v="3"/>
    <n v="9600"/>
    <n v="0.05"/>
    <n v="1722.43"/>
    <b v="0"/>
  </r>
  <r>
    <n v="100686"/>
    <x v="197"/>
    <s v="C1125"/>
    <s v="Aditya Nair"/>
    <x v="2"/>
    <x v="0"/>
    <s v="ASUS Vivobook 15"/>
    <n v="1"/>
    <n v="50000"/>
    <n v="0.05"/>
    <n v="10845.04"/>
    <b v="0"/>
  </r>
  <r>
    <n v="100687"/>
    <x v="243"/>
    <s v="C1107"/>
    <s v="Ananya Verma"/>
    <x v="4"/>
    <x v="2"/>
    <s v="Xiaomi Pad 7"/>
    <n v="4"/>
    <n v="112000"/>
    <n v="0.1"/>
    <n v="20326.88"/>
    <b v="0"/>
  </r>
  <r>
    <n v="100688"/>
    <x v="301"/>
    <s v="C1199"/>
    <s v="Karan Malhotra"/>
    <x v="1"/>
    <x v="3"/>
    <s v="boAt Rockerz 550"/>
    <n v="3"/>
    <n v="6000"/>
    <n v="0.1"/>
    <n v="863.68"/>
    <b v="0"/>
  </r>
  <r>
    <n v="100689"/>
    <x v="299"/>
    <s v="C1186"/>
    <s v="Siddharth Rao"/>
    <x v="2"/>
    <x v="3"/>
    <s v="Sony WH-CH520"/>
    <n v="1"/>
    <n v="4500"/>
    <n v="0.15"/>
    <n v="851.83"/>
    <b v="0"/>
  </r>
  <r>
    <n v="100690"/>
    <x v="302"/>
    <s v="C1141"/>
    <s v="Amit Kumar"/>
    <x v="0"/>
    <x v="2"/>
    <s v="Lenovo Tab P12"/>
    <n v="3"/>
    <n v="78000"/>
    <n v="0.15"/>
    <n v="10934.94"/>
    <b v="0"/>
  </r>
  <r>
    <n v="100691"/>
    <x v="86"/>
    <s v="C1113"/>
    <s v="Sneha Iyer"/>
    <x v="0"/>
    <x v="0"/>
    <s v="Apple MacBook Air"/>
    <n v="3"/>
    <n v="255000"/>
    <n v="0.05"/>
    <n v="45003.05"/>
    <b v="0"/>
  </r>
  <r>
    <n v="100692"/>
    <x v="199"/>
    <s v="C1177"/>
    <s v="Karan Malhotra"/>
    <x v="8"/>
    <x v="2"/>
    <s v="iPad 10th Gen"/>
    <n v="2"/>
    <n v="76000"/>
    <n v="0.2"/>
    <n v="15182.21"/>
    <b v="0"/>
  </r>
  <r>
    <n v="100693"/>
    <x v="140"/>
    <s v="C1101"/>
    <s v="Varun Singh"/>
    <x v="2"/>
    <x v="3"/>
    <s v="Sony WH-CH520"/>
    <n v="2"/>
    <n v="9000"/>
    <n v="0.2"/>
    <n v="1239.06"/>
    <b v="0"/>
  </r>
  <r>
    <n v="100694"/>
    <x v="78"/>
    <s v="C1218"/>
    <s v="Ananya Verma"/>
    <x v="8"/>
    <x v="1"/>
    <s v="Razer DeathAdder Essential"/>
    <n v="4"/>
    <n v="7200"/>
    <n v="0.05"/>
    <n v="1189.6600000000001"/>
    <b v="0"/>
  </r>
  <r>
    <n v="100695"/>
    <x v="256"/>
    <s v="C1136"/>
    <s v="Pooja Joshi"/>
    <x v="4"/>
    <x v="2"/>
    <s v="iPad 10th Gen"/>
    <n v="3"/>
    <n v="114000"/>
    <n v="0.05"/>
    <n v="19219.39"/>
    <b v="0"/>
  </r>
  <r>
    <n v="100696"/>
    <x v="218"/>
    <s v="C1168"/>
    <s v="Pooja Joshi"/>
    <x v="6"/>
    <x v="3"/>
    <s v="Sony WH-CH520"/>
    <n v="2"/>
    <n v="9000"/>
    <n v="0.2"/>
    <n v="1625.65"/>
    <b v="0"/>
  </r>
  <r>
    <n v="100697"/>
    <x v="303"/>
    <s v="C1140"/>
    <s v="Meera Kapoor"/>
    <x v="6"/>
    <x v="2"/>
    <s v="iPad 10th Gen"/>
    <n v="2"/>
    <n v="76000"/>
    <n v="0.05"/>
    <n v="17623.560000000001"/>
    <b v="0"/>
  </r>
  <r>
    <n v="100698"/>
    <x v="89"/>
    <s v="C1161"/>
    <s v="Priya Patel"/>
    <x v="6"/>
    <x v="0"/>
    <s v="HP Pavilion 14"/>
    <n v="2"/>
    <n v="124000"/>
    <n v="0.05"/>
    <n v="23352.07"/>
    <b v="0"/>
  </r>
  <r>
    <n v="100699"/>
    <x v="233"/>
    <s v="C1159"/>
    <s v="Pooja Joshi"/>
    <x v="2"/>
    <x v="0"/>
    <s v="HP Pavilion 14"/>
    <n v="2"/>
    <n v="124000"/>
    <n v="0.15"/>
    <n v="17280.43"/>
    <b v="0"/>
  </r>
  <r>
    <n v="100700"/>
    <x v="170"/>
    <s v="C1224"/>
    <s v="Karan Malhotra"/>
    <x v="6"/>
    <x v="0"/>
    <s v="Lenovo IdeaPad 3"/>
    <n v="1"/>
    <n v="45000"/>
    <n v="0.2"/>
    <n v="5081.25"/>
    <b v="0"/>
  </r>
  <r>
    <n v="100701"/>
    <x v="55"/>
    <s v="C1210"/>
    <s v="Karan Malhotra"/>
    <x v="4"/>
    <x v="0"/>
    <s v="Lenovo IdeaPad 3"/>
    <n v="3"/>
    <n v="135000"/>
    <n v="0.1"/>
    <n v="15505.04"/>
    <b v="0"/>
  </r>
  <r>
    <n v="100702"/>
    <x v="213"/>
    <s v="C1113"/>
    <s v="Sneha Iyer"/>
    <x v="8"/>
    <x v="0"/>
    <s v="HP Pavilion 14"/>
    <n v="1"/>
    <n v="62000"/>
    <n v="0.05"/>
    <n v="11485.95"/>
    <b v="0"/>
  </r>
  <r>
    <n v="100703"/>
    <x v="295"/>
    <s v="C1183"/>
    <s v="Rahul Sharma"/>
    <x v="2"/>
    <x v="0"/>
    <s v="Dell Inspiron 15"/>
    <n v="4"/>
    <n v="220000"/>
    <n v="0.1"/>
    <n v="37401.440000000002"/>
    <b v="0"/>
  </r>
  <r>
    <n v="100704"/>
    <x v="194"/>
    <s v="C1229"/>
    <s v="Riya Sen"/>
    <x v="8"/>
    <x v="1"/>
    <s v="HP Wireless Mouse 200"/>
    <n v="4"/>
    <n v="3200"/>
    <n v="0.1"/>
    <n v="401.15"/>
    <b v="0"/>
  </r>
  <r>
    <n v="100705"/>
    <x v="85"/>
    <s v="C1169"/>
    <s v="Amit Kumar"/>
    <x v="2"/>
    <x v="3"/>
    <s v="Realme Buds Wireless 3"/>
    <n v="1"/>
    <n v="1800"/>
    <n v="0.2"/>
    <n v="277.32"/>
    <b v="0"/>
  </r>
  <r>
    <n v="100706"/>
    <x v="293"/>
    <s v="C1244"/>
    <s v="Rohan Desai"/>
    <x v="8"/>
    <x v="1"/>
    <s v="HP Wireless Mouse 200"/>
    <n v="3"/>
    <n v="2400"/>
    <n v="0.2"/>
    <n v="383.75"/>
    <b v="0"/>
  </r>
  <r>
    <n v="100707"/>
    <x v="84"/>
    <s v="C1222"/>
    <s v="Karan Malhotra"/>
    <x v="0"/>
    <x v="1"/>
    <s v="Dell Optical Mouse"/>
    <n v="2"/>
    <n v="1000"/>
    <n v="0.1"/>
    <n v="162.97999999999999"/>
    <b v="0"/>
  </r>
  <r>
    <n v="100708"/>
    <x v="258"/>
    <s v="C1188"/>
    <s v="Priya Patel"/>
    <x v="8"/>
    <x v="0"/>
    <s v="Lenovo IdeaPad 3"/>
    <n v="2"/>
    <n v="90000"/>
    <n v="0.1"/>
    <n v="13037.06"/>
    <b v="0"/>
  </r>
  <r>
    <n v="100709"/>
    <x v="234"/>
    <s v="C1127"/>
    <s v="Priya Patel"/>
    <x v="6"/>
    <x v="2"/>
    <s v="Lenovo Tab P12"/>
    <n v="4"/>
    <n v="104000"/>
    <n v="0.1"/>
    <n v="15609.97"/>
    <b v="0"/>
  </r>
  <r>
    <n v="100710"/>
    <x v="95"/>
    <s v="C1165"/>
    <s v="Aditya Nair"/>
    <x v="0"/>
    <x v="2"/>
    <s v="Xiaomi Pad 7"/>
    <n v="3"/>
    <n v="84000"/>
    <n v="0.15"/>
    <n v="14865.76"/>
    <b v="0"/>
  </r>
  <r>
    <n v="100711"/>
    <x v="304"/>
    <s v="C1104"/>
    <s v="Sneha Iyer"/>
    <x v="8"/>
    <x v="1"/>
    <s v="Razer DeathAdder Essential"/>
    <n v="2"/>
    <n v="3600"/>
    <n v="0.15"/>
    <n v="496.76"/>
    <b v="0"/>
  </r>
  <r>
    <n v="100712"/>
    <x v="243"/>
    <s v="C1144"/>
    <s v="Meera Kapoor"/>
    <x v="2"/>
    <x v="2"/>
    <s v="Samsung Galaxy Tab S9"/>
    <n v="4"/>
    <n v="232000"/>
    <n v="0.2"/>
    <n v="41615.040000000001"/>
    <b v="0"/>
  </r>
  <r>
    <n v="100713"/>
    <x v="110"/>
    <s v="C1146"/>
    <s v="Aditya Nair"/>
    <x v="2"/>
    <x v="1"/>
    <s v="Logitech G102"/>
    <n v="2"/>
    <n v="3000"/>
    <n v="0.15"/>
    <n v="636.04999999999995"/>
    <b v="0"/>
  </r>
  <r>
    <n v="100714"/>
    <x v="246"/>
    <s v="C1130"/>
    <s v="Rahul Sharma"/>
    <x v="5"/>
    <x v="2"/>
    <s v="Xiaomi Pad 7"/>
    <n v="2"/>
    <n v="56000"/>
    <n v="0.05"/>
    <n v="7415.46"/>
    <b v="0"/>
  </r>
  <r>
    <n v="100715"/>
    <x v="228"/>
    <s v="C1238"/>
    <s v="Siddharth Rao"/>
    <x v="2"/>
    <x v="3"/>
    <s v="Sony WH-CH520"/>
    <n v="2"/>
    <n v="9000"/>
    <n v="0.15"/>
    <n v="1257.97"/>
    <b v="0"/>
  </r>
  <r>
    <n v="100716"/>
    <x v="153"/>
    <s v="C1109"/>
    <s v="Amit Kumar"/>
    <x v="1"/>
    <x v="2"/>
    <s v="Xiaomi Pad 7"/>
    <n v="4"/>
    <n v="112000"/>
    <n v="0.15"/>
    <n v="14229.52"/>
    <b v="0"/>
  </r>
  <r>
    <n v="100717"/>
    <x v="281"/>
    <s v="C1217"/>
    <s v="Meera Kapoor"/>
    <x v="4"/>
    <x v="1"/>
    <s v="Razer DeathAdder Essential"/>
    <n v="1"/>
    <n v="1800"/>
    <n v="0.15"/>
    <n v="305"/>
    <b v="0"/>
  </r>
  <r>
    <n v="100718"/>
    <x v="14"/>
    <s v="C1113"/>
    <s v="Sneha Iyer"/>
    <x v="2"/>
    <x v="1"/>
    <s v="Logitech G102"/>
    <n v="4"/>
    <n v="6000"/>
    <n v="0.1"/>
    <n v="737.22"/>
    <b v="0"/>
  </r>
  <r>
    <n v="100719"/>
    <x v="89"/>
    <s v="C1179"/>
    <s v="Siddharth Rao"/>
    <x v="0"/>
    <x v="1"/>
    <s v="HP Wireless Mouse 200"/>
    <n v="2"/>
    <n v="1600"/>
    <n v="0.2"/>
    <n v="278.75"/>
    <b v="0"/>
  </r>
  <r>
    <n v="100720"/>
    <x v="160"/>
    <s v="C1192"/>
    <s v="Amit Kumar"/>
    <x v="5"/>
    <x v="2"/>
    <s v="Xiaomi Pad 7"/>
    <n v="4"/>
    <n v="112000"/>
    <n v="0.15"/>
    <n v="13860.68"/>
    <b v="0"/>
  </r>
  <r>
    <n v="100721"/>
    <x v="82"/>
    <s v="C1014"/>
    <s v="Vikram Reddy"/>
    <x v="0"/>
    <x v="3"/>
    <s v="boAt Rockerz 550"/>
    <n v="2"/>
    <n v="5040"/>
    <n v="0.19"/>
    <n v="38.590000000000003"/>
    <b v="0"/>
  </r>
  <r>
    <n v="100722"/>
    <x v="32"/>
    <s v="C1175"/>
    <s v="Karan Malhotra"/>
    <x v="1"/>
    <x v="2"/>
    <s v="Xiaomi Pad 7"/>
    <n v="4"/>
    <n v="112000"/>
    <n v="0.1"/>
    <n v="14954.96"/>
    <b v="0"/>
  </r>
  <r>
    <n v="100723"/>
    <x v="133"/>
    <s v="C1193"/>
    <s v="Varun Singh"/>
    <x v="6"/>
    <x v="1"/>
    <s v="Razer DeathAdder Essential"/>
    <n v="2"/>
    <n v="3600"/>
    <n v="0.05"/>
    <n v="608.41999999999996"/>
    <b v="0"/>
  </r>
  <r>
    <n v="100724"/>
    <x v="169"/>
    <s v="C1204"/>
    <s v="Aditya Nair"/>
    <x v="0"/>
    <x v="0"/>
    <s v="Dell Inspiron 15"/>
    <n v="4"/>
    <n v="220000"/>
    <n v="0.15"/>
    <n v="35594.480000000003"/>
    <b v="0"/>
  </r>
  <r>
    <n v="100725"/>
    <x v="239"/>
    <s v="C1100"/>
    <s v="Neha Gupta"/>
    <x v="1"/>
    <x v="3"/>
    <s v="Realme Buds Wireless 3"/>
    <n v="4"/>
    <n v="7200"/>
    <n v="0.15"/>
    <n v="1232.17"/>
    <b v="0"/>
  </r>
  <r>
    <n v="100726"/>
    <x v="43"/>
    <s v="C1232"/>
    <s v="Neha Gupta"/>
    <x v="6"/>
    <x v="0"/>
    <s v="HP Pavilion 14"/>
    <n v="1"/>
    <n v="62000"/>
    <n v="0.1"/>
    <n v="7128.24"/>
    <b v="0"/>
  </r>
  <r>
    <n v="100727"/>
    <x v="305"/>
    <s v="C1119"/>
    <s v="Rohan Desai"/>
    <x v="3"/>
    <x v="1"/>
    <s v="Logitech G102"/>
    <n v="2"/>
    <n v="3000"/>
    <n v="0.05"/>
    <n v="535.91999999999996"/>
    <b v="0"/>
  </r>
  <r>
    <n v="100728"/>
    <x v="206"/>
    <s v="C1107"/>
    <s v="Ananya Verma"/>
    <x v="3"/>
    <x v="2"/>
    <s v="iPad 10th Gen"/>
    <n v="3"/>
    <n v="114000"/>
    <n v="0.1"/>
    <n v="13380.45"/>
    <b v="0"/>
  </r>
  <r>
    <n v="100729"/>
    <x v="140"/>
    <s v="C1100"/>
    <s v="Neha Gupta"/>
    <x v="0"/>
    <x v="0"/>
    <s v="Dell Inspiron 15"/>
    <n v="3"/>
    <n v="165000"/>
    <n v="0.15"/>
    <n v="20193.150000000001"/>
    <b v="0"/>
  </r>
  <r>
    <n v="100730"/>
    <x v="132"/>
    <s v="C1156"/>
    <s v="Rohan Desai"/>
    <x v="8"/>
    <x v="3"/>
    <s v="boAt Rockerz 550"/>
    <n v="3"/>
    <n v="6000"/>
    <n v="0.15"/>
    <n v="645.91"/>
    <b v="0"/>
  </r>
  <r>
    <n v="100731"/>
    <x v="21"/>
    <s v="C1163"/>
    <s v="Pooja Joshi"/>
    <x v="4"/>
    <x v="1"/>
    <s v="Razer DeathAdder Essential"/>
    <n v="1"/>
    <n v="1800"/>
    <n v="0.05"/>
    <n v="312.64"/>
    <b v="0"/>
  </r>
  <r>
    <n v="100732"/>
    <x v="182"/>
    <s v="C1217"/>
    <s v="Meera Kapoor"/>
    <x v="5"/>
    <x v="3"/>
    <s v="Realme Buds Wireless 3"/>
    <n v="3"/>
    <n v="5400"/>
    <n v="0.1"/>
    <n v="675.02"/>
    <b v="0"/>
  </r>
  <r>
    <n v="100733"/>
    <x v="50"/>
    <s v="C1127"/>
    <s v="Priya Patel"/>
    <x v="4"/>
    <x v="3"/>
    <s v="JBL Tune 510BT"/>
    <n v="1"/>
    <n v="3200"/>
    <n v="0.15"/>
    <n v="351.56"/>
    <b v="0"/>
  </r>
  <r>
    <n v="100734"/>
    <x v="144"/>
    <s v="C1220"/>
    <s v="Amit Kumar"/>
    <x v="1"/>
    <x v="1"/>
    <s v="Dell Optical Mouse"/>
    <n v="1"/>
    <n v="500"/>
    <n v="0.15"/>
    <n v="99.51"/>
    <b v="0"/>
  </r>
  <r>
    <n v="100735"/>
    <x v="135"/>
    <s v="C1206"/>
    <s v="Meera Kapoor"/>
    <x v="6"/>
    <x v="3"/>
    <s v="Sony WH-CH520"/>
    <n v="1"/>
    <n v="4500"/>
    <n v="0.05"/>
    <n v="540.05999999999995"/>
    <b v="0"/>
  </r>
  <r>
    <n v="100736"/>
    <x v="99"/>
    <s v="C1148"/>
    <s v="Aditya Nair"/>
    <x v="4"/>
    <x v="1"/>
    <s v="HP Wireless Mouse 200"/>
    <n v="2"/>
    <n v="1600"/>
    <n v="0.1"/>
    <n v="207.48"/>
    <b v="0"/>
  </r>
  <r>
    <n v="100737"/>
    <x v="207"/>
    <s v="C1219"/>
    <s v="Siddharth Rao"/>
    <x v="6"/>
    <x v="3"/>
    <s v="boAt Rockerz 550"/>
    <n v="1"/>
    <n v="2000"/>
    <n v="0.2"/>
    <n v="201.48"/>
    <b v="0"/>
  </r>
  <r>
    <n v="100738"/>
    <x v="256"/>
    <s v="C1143"/>
    <s v="Karan Malhotra"/>
    <x v="6"/>
    <x v="1"/>
    <s v="Dell Optical Mouse"/>
    <n v="2"/>
    <n v="1000"/>
    <n v="0.2"/>
    <n v="126.85"/>
    <b v="0"/>
  </r>
  <r>
    <n v="100739"/>
    <x v="64"/>
    <s v="C1155"/>
    <s v="Ananya Verma"/>
    <x v="1"/>
    <x v="0"/>
    <s v="HP Pavilion 14"/>
    <n v="4"/>
    <n v="248000"/>
    <n v="0.05"/>
    <n v="32160.05"/>
    <b v="0"/>
  </r>
  <r>
    <n v="100740"/>
    <x v="235"/>
    <s v="C1210"/>
    <s v="Karan Malhotra"/>
    <x v="1"/>
    <x v="2"/>
    <s v="Samsung Galaxy Tab S9"/>
    <n v="4"/>
    <n v="232000"/>
    <n v="0.1"/>
    <n v="31729.279999999999"/>
    <b v="0"/>
  </r>
  <r>
    <n v="100741"/>
    <x v="28"/>
    <s v="C1233"/>
    <s v="Pooja Joshi"/>
    <x v="1"/>
    <x v="0"/>
    <s v="Dell Inspiron 15"/>
    <n v="2"/>
    <n v="110000"/>
    <n v="0.15"/>
    <n v="20078.400000000001"/>
    <b v="0"/>
  </r>
  <r>
    <n v="100742"/>
    <x v="149"/>
    <s v="C1207"/>
    <s v="Siddharth Rao"/>
    <x v="4"/>
    <x v="0"/>
    <s v="HP Pavilion 14"/>
    <n v="2"/>
    <n v="124000"/>
    <n v="0.05"/>
    <n v="15531.73"/>
    <b v="0"/>
  </r>
  <r>
    <n v="100743"/>
    <x v="295"/>
    <s v="C1247"/>
    <s v="Sneha Iyer"/>
    <x v="3"/>
    <x v="3"/>
    <s v="Sony WH-CH520"/>
    <n v="3"/>
    <n v="13500"/>
    <n v="0.2"/>
    <n v="1534.5"/>
    <b v="0"/>
  </r>
  <r>
    <n v="100744"/>
    <x v="292"/>
    <s v="C1213"/>
    <s v="Siddharth Rao"/>
    <x v="1"/>
    <x v="3"/>
    <s v="JBL Tune 510BT"/>
    <n v="4"/>
    <n v="12800"/>
    <n v="0.15"/>
    <n v="2388.9899999999998"/>
    <b v="0"/>
  </r>
  <r>
    <n v="100745"/>
    <x v="22"/>
    <s v="C1177"/>
    <s v="Karan Malhotra"/>
    <x v="5"/>
    <x v="0"/>
    <s v="Lenovo IdeaPad 3"/>
    <n v="4"/>
    <n v="180000"/>
    <n v="0.05"/>
    <n v="21013.919999999998"/>
    <b v="0"/>
  </r>
  <r>
    <n v="100746"/>
    <x v="264"/>
    <s v="C1229"/>
    <s v="Riya Sen"/>
    <x v="4"/>
    <x v="0"/>
    <s v="HP Pavilion 14"/>
    <n v="4"/>
    <n v="248000"/>
    <n v="0.15"/>
    <n v="51817.67"/>
    <b v="0"/>
  </r>
  <r>
    <n v="100747"/>
    <x v="306"/>
    <s v="C1136"/>
    <s v="Pooja Joshi"/>
    <x v="1"/>
    <x v="2"/>
    <s v="Lenovo Tab P12"/>
    <n v="4"/>
    <n v="104000"/>
    <n v="0.2"/>
    <n v="11225.17"/>
    <b v="0"/>
  </r>
  <r>
    <n v="100748"/>
    <x v="288"/>
    <s v="C1119"/>
    <s v="Rohan Desai"/>
    <x v="2"/>
    <x v="0"/>
    <s v="Apple MacBook Air"/>
    <n v="1"/>
    <n v="85000"/>
    <n v="0.05"/>
    <n v="10225.11"/>
    <b v="0"/>
  </r>
  <r>
    <n v="100749"/>
    <x v="243"/>
    <s v="C1125"/>
    <s v="Aditya Nair"/>
    <x v="6"/>
    <x v="2"/>
    <s v="iPad 10th Gen"/>
    <n v="2"/>
    <n v="76000"/>
    <n v="0.1"/>
    <n v="13433.8"/>
    <b v="0"/>
  </r>
  <r>
    <n v="100750"/>
    <x v="196"/>
    <s v="C1128"/>
    <s v="Karan Malhotra"/>
    <x v="5"/>
    <x v="0"/>
    <s v="HP Pavilion 14"/>
    <n v="3"/>
    <n v="186000"/>
    <n v="0.15"/>
    <n v="35036.89"/>
    <b v="0"/>
  </r>
  <r>
    <n v="100751"/>
    <x v="62"/>
    <s v="C1100"/>
    <s v="Neha Gupta"/>
    <x v="1"/>
    <x v="0"/>
    <s v="HP Pavilion 14"/>
    <n v="3"/>
    <n v="186000"/>
    <n v="0.05"/>
    <n v="36076.76"/>
    <b v="0"/>
  </r>
  <r>
    <n v="100752"/>
    <x v="15"/>
    <s v="C1218"/>
    <s v="Ananya Verma"/>
    <x v="0"/>
    <x v="1"/>
    <s v="HP Wireless Mouse 200"/>
    <n v="3"/>
    <n v="2400"/>
    <n v="0.05"/>
    <n v="477.31"/>
    <b v="0"/>
  </r>
  <r>
    <n v="100753"/>
    <x v="208"/>
    <s v="C1134"/>
    <s v="Riya Sen"/>
    <x v="6"/>
    <x v="2"/>
    <s v="Samsung Galaxy Tab S9"/>
    <n v="1"/>
    <n v="58000"/>
    <n v="0.2"/>
    <n v="8522.9"/>
    <b v="0"/>
  </r>
  <r>
    <n v="100754"/>
    <x v="307"/>
    <s v="C1158"/>
    <s v="Ananya Verma"/>
    <x v="6"/>
    <x v="0"/>
    <s v="Dell Inspiron 15"/>
    <n v="3"/>
    <n v="165000"/>
    <n v="0.15"/>
    <n v="27993.32"/>
    <b v="0"/>
  </r>
  <r>
    <n v="100755"/>
    <x v="195"/>
    <s v="C1168"/>
    <s v="Pooja Joshi"/>
    <x v="1"/>
    <x v="3"/>
    <s v="Sony WH-CH520"/>
    <n v="3"/>
    <n v="13500"/>
    <n v="0.1"/>
    <n v="2738.13"/>
    <b v="0"/>
  </r>
  <r>
    <n v="100756"/>
    <x v="308"/>
    <s v="C1111"/>
    <s v="Neha Gupta"/>
    <x v="3"/>
    <x v="3"/>
    <s v="Realme Buds Wireless 3"/>
    <n v="4"/>
    <n v="7200"/>
    <n v="0.15"/>
    <n v="1030.46"/>
    <b v="0"/>
  </r>
  <r>
    <n v="100757"/>
    <x v="201"/>
    <s v="C1119"/>
    <s v="Rohan Desai"/>
    <x v="8"/>
    <x v="3"/>
    <s v="JBL Tune 510BT"/>
    <n v="4"/>
    <n v="12800"/>
    <n v="0.05"/>
    <n v="1745.68"/>
    <b v="0"/>
  </r>
  <r>
    <n v="100758"/>
    <x v="8"/>
    <s v="C1142"/>
    <s v="Karan Malhotra"/>
    <x v="3"/>
    <x v="0"/>
    <s v="HP Pavilion 14"/>
    <n v="3"/>
    <n v="186000"/>
    <n v="0.1"/>
    <n v="34282.81"/>
    <b v="0"/>
  </r>
  <r>
    <n v="100759"/>
    <x v="305"/>
    <s v="C1225"/>
    <s v="Riya Sen"/>
    <x v="1"/>
    <x v="3"/>
    <s v="Realme Buds Wireless 3"/>
    <n v="2"/>
    <n v="3600"/>
    <n v="0.05"/>
    <n v="685.43"/>
    <b v="0"/>
  </r>
  <r>
    <n v="100760"/>
    <x v="237"/>
    <s v="C1149"/>
    <s v="Rohan Desai"/>
    <x v="6"/>
    <x v="3"/>
    <s v="Sony WH-CH520"/>
    <n v="2"/>
    <n v="9000"/>
    <n v="0.2"/>
    <n v="1456.3"/>
    <b v="0"/>
  </r>
  <r>
    <n v="100761"/>
    <x v="173"/>
    <s v="C1128"/>
    <s v="Karan Malhotra"/>
    <x v="5"/>
    <x v="1"/>
    <s v="Dell Optical Mouse"/>
    <n v="1"/>
    <n v="500"/>
    <n v="0.1"/>
    <n v="54.65"/>
    <b v="0"/>
  </r>
  <r>
    <n v="100762"/>
    <x v="266"/>
    <s v="C1138"/>
    <s v="Sneha Iyer"/>
    <x v="0"/>
    <x v="1"/>
    <s v="HP Wireless Mouse 200"/>
    <n v="2"/>
    <n v="1600"/>
    <n v="0.05"/>
    <n v="268.17"/>
    <b v="0"/>
  </r>
  <r>
    <n v="100763"/>
    <x v="20"/>
    <s v="C1137"/>
    <s v="Rahul Sharma"/>
    <x v="5"/>
    <x v="0"/>
    <s v="ASUS Vivobook 15"/>
    <n v="1"/>
    <n v="50000"/>
    <n v="0.05"/>
    <n v="7888.28"/>
    <b v="0"/>
  </r>
  <r>
    <n v="100764"/>
    <x v="281"/>
    <s v="C1183"/>
    <s v="Rahul Sharma"/>
    <x v="5"/>
    <x v="1"/>
    <s v="Dell Optical Mouse"/>
    <n v="3"/>
    <n v="1500"/>
    <n v="0.15"/>
    <n v="269.14999999999998"/>
    <b v="0"/>
  </r>
  <r>
    <n v="100765"/>
    <x v="75"/>
    <s v="C1227"/>
    <s v="Riya Sen"/>
    <x v="6"/>
    <x v="3"/>
    <s v="Sony WH-CH520"/>
    <n v="1"/>
    <n v="4500"/>
    <n v="0.15"/>
    <n v="632.97"/>
    <b v="0"/>
  </r>
  <r>
    <n v="100766"/>
    <x v="174"/>
    <s v="C1225"/>
    <s v="Riya Sen"/>
    <x v="3"/>
    <x v="1"/>
    <s v="Logitech G102"/>
    <n v="1"/>
    <n v="1500"/>
    <n v="0.05"/>
    <n v="207.83"/>
    <b v="0"/>
  </r>
  <r>
    <n v="100767"/>
    <x v="156"/>
    <s v="C1144"/>
    <s v="Meera Kapoor"/>
    <x v="0"/>
    <x v="1"/>
    <s v="Logitech G102"/>
    <n v="4"/>
    <n v="6000"/>
    <n v="0.1"/>
    <n v="696.55"/>
    <b v="0"/>
  </r>
  <r>
    <n v="100768"/>
    <x v="74"/>
    <s v="C1151"/>
    <s v="Neha Gupta"/>
    <x v="4"/>
    <x v="1"/>
    <s v="Dell Optical Mouse"/>
    <n v="3"/>
    <n v="1500"/>
    <n v="0.1"/>
    <n v="245.02"/>
    <b v="0"/>
  </r>
  <r>
    <n v="100769"/>
    <x v="26"/>
    <s v="C1179"/>
    <s v="Siddharth Rao"/>
    <x v="2"/>
    <x v="3"/>
    <s v="Realme Buds Wireless 3"/>
    <n v="3"/>
    <n v="5400"/>
    <n v="0.1"/>
    <n v="792.05"/>
    <b v="0"/>
  </r>
  <r>
    <n v="100770"/>
    <x v="274"/>
    <s v="C1223"/>
    <s v="Karan Malhotra"/>
    <x v="6"/>
    <x v="0"/>
    <s v="Apple MacBook Air"/>
    <n v="1"/>
    <n v="85000"/>
    <n v="0.15"/>
    <n v="10508.63"/>
    <b v="0"/>
  </r>
  <r>
    <n v="100771"/>
    <x v="168"/>
    <s v="C1218"/>
    <s v="Ananya Verma"/>
    <x v="1"/>
    <x v="3"/>
    <s v="Realme Buds Wireless 3"/>
    <n v="1"/>
    <n v="1800"/>
    <n v="0.05"/>
    <n v="303.13"/>
    <b v="0"/>
  </r>
  <r>
    <n v="100772"/>
    <x v="307"/>
    <s v="C1107"/>
    <s v="Ananya Verma"/>
    <x v="4"/>
    <x v="3"/>
    <s v="boAt Rockerz 550"/>
    <n v="2"/>
    <n v="4000"/>
    <n v="0.05"/>
    <n v="486.1"/>
    <b v="0"/>
  </r>
  <r>
    <n v="100773"/>
    <x v="15"/>
    <s v="C1184"/>
    <s v="Varun Singh"/>
    <x v="2"/>
    <x v="3"/>
    <s v="boAt Rockerz 550"/>
    <n v="2"/>
    <n v="4000"/>
    <n v="0.05"/>
    <n v="613.61"/>
    <b v="0"/>
  </r>
  <r>
    <n v="100774"/>
    <x v="278"/>
    <s v="C1228"/>
    <s v="Meera Kapoor"/>
    <x v="1"/>
    <x v="0"/>
    <s v="Dell Inspiron 15"/>
    <n v="1"/>
    <n v="55000"/>
    <n v="0.05"/>
    <n v="11259.83"/>
    <b v="0"/>
  </r>
  <r>
    <n v="100775"/>
    <x v="2"/>
    <s v="C1107"/>
    <s v="Ananya Verma"/>
    <x v="5"/>
    <x v="0"/>
    <s v="Dell Inspiron 15"/>
    <n v="2"/>
    <n v="110000"/>
    <n v="0.1"/>
    <n v="23996.77"/>
    <b v="0"/>
  </r>
  <r>
    <n v="100776"/>
    <x v="292"/>
    <s v="C1195"/>
    <s v="Riya Sen"/>
    <x v="8"/>
    <x v="1"/>
    <s v="Logitech G102"/>
    <n v="3"/>
    <n v="4500"/>
    <n v="0.05"/>
    <n v="563.80999999999995"/>
    <b v="0"/>
  </r>
  <r>
    <n v="100777"/>
    <x v="10"/>
    <s v="C1201"/>
    <s v="Amit Kumar"/>
    <x v="1"/>
    <x v="2"/>
    <s v="Lenovo Tab P12"/>
    <n v="1"/>
    <n v="26000"/>
    <n v="0.2"/>
    <n v="3597.52"/>
    <b v="0"/>
  </r>
  <r>
    <n v="100778"/>
    <x v="216"/>
    <s v="C1104"/>
    <s v="Sneha Iyer"/>
    <x v="0"/>
    <x v="0"/>
    <s v="Dell Inspiron 15"/>
    <n v="2"/>
    <n v="110000"/>
    <n v="0.05"/>
    <n v="15206.66"/>
    <b v="0"/>
  </r>
  <r>
    <n v="100779"/>
    <x v="278"/>
    <s v="C1185"/>
    <s v="Priya Patel"/>
    <x v="0"/>
    <x v="0"/>
    <s v="ASUS Vivobook 15"/>
    <n v="4"/>
    <n v="200000"/>
    <n v="0.1"/>
    <n v="35104.54"/>
    <b v="0"/>
  </r>
  <r>
    <n v="100780"/>
    <x v="45"/>
    <s v="C1133"/>
    <s v="Vikram Reddy"/>
    <x v="8"/>
    <x v="0"/>
    <s v="HP Pavilion 14"/>
    <n v="1"/>
    <n v="62000"/>
    <n v="0.15"/>
    <n v="11862.31"/>
    <b v="0"/>
  </r>
  <r>
    <n v="100781"/>
    <x v="273"/>
    <s v="C1154"/>
    <s v="Rohan Desai"/>
    <x v="4"/>
    <x v="0"/>
    <s v="Dell Inspiron 15"/>
    <n v="1"/>
    <n v="55000"/>
    <n v="0.05"/>
    <n v="8494.01"/>
    <b v="0"/>
  </r>
  <r>
    <n v="100782"/>
    <x v="261"/>
    <s v="C1218"/>
    <s v="Ananya Verma"/>
    <x v="2"/>
    <x v="0"/>
    <s v="HP Pavilion 14"/>
    <n v="4"/>
    <n v="248000"/>
    <n v="0.2"/>
    <n v="44201.5"/>
    <b v="0"/>
  </r>
  <r>
    <n v="100783"/>
    <x v="309"/>
    <s v="C1213"/>
    <s v="Siddharth Rao"/>
    <x v="1"/>
    <x v="2"/>
    <s v="Samsung Galaxy Tab S9"/>
    <n v="1"/>
    <n v="58000"/>
    <n v="0.05"/>
    <n v="10867.18"/>
    <b v="0"/>
  </r>
  <r>
    <n v="100784"/>
    <x v="304"/>
    <s v="C1244"/>
    <s v="Rohan Desai"/>
    <x v="0"/>
    <x v="0"/>
    <s v="HP Pavilion 14"/>
    <n v="2"/>
    <n v="124000"/>
    <n v="0.2"/>
    <n v="22627.55"/>
    <b v="0"/>
  </r>
  <r>
    <n v="100785"/>
    <x v="136"/>
    <s v="C1125"/>
    <s v="Aditya Nair"/>
    <x v="4"/>
    <x v="1"/>
    <s v="HP Wireless Mouse 200"/>
    <n v="3"/>
    <n v="2400"/>
    <n v="0.1"/>
    <n v="476.17"/>
    <b v="0"/>
  </r>
  <r>
    <n v="100786"/>
    <x v="310"/>
    <s v="C1235"/>
    <s v="Rahul Sharma"/>
    <x v="8"/>
    <x v="0"/>
    <s v="Lenovo IdeaPad 3"/>
    <n v="2"/>
    <n v="90000"/>
    <n v="0.2"/>
    <n v="8776.74"/>
    <b v="0"/>
  </r>
  <r>
    <n v="100787"/>
    <x v="208"/>
    <s v="C1146"/>
    <s v="Aditya Nair"/>
    <x v="3"/>
    <x v="0"/>
    <s v="ASUS Vivobook 15"/>
    <n v="3"/>
    <n v="150000"/>
    <n v="0.15"/>
    <n v="21722.01"/>
    <b v="0"/>
  </r>
  <r>
    <n v="100788"/>
    <x v="311"/>
    <s v="C1212"/>
    <s v="Aditya Nair"/>
    <x v="6"/>
    <x v="3"/>
    <s v="boAt Rockerz 550"/>
    <n v="1"/>
    <n v="2000"/>
    <n v="0.05"/>
    <n v="300.5"/>
    <b v="0"/>
  </r>
  <r>
    <n v="100789"/>
    <x v="91"/>
    <s v="C1175"/>
    <s v="Karan Malhotra"/>
    <x v="3"/>
    <x v="0"/>
    <s v="Dell Inspiron 15"/>
    <n v="1"/>
    <n v="55000"/>
    <n v="0.2"/>
    <n v="9324.1299999999992"/>
    <b v="0"/>
  </r>
  <r>
    <n v="100790"/>
    <x v="17"/>
    <s v="C1171"/>
    <s v="Priya Patel"/>
    <x v="3"/>
    <x v="0"/>
    <s v="Lenovo IdeaPad 3"/>
    <n v="3"/>
    <n v="135000"/>
    <n v="0.1"/>
    <n v="28573.01"/>
    <b v="0"/>
  </r>
  <r>
    <n v="100791"/>
    <x v="27"/>
    <s v="C1188"/>
    <s v="Priya Patel"/>
    <x v="0"/>
    <x v="0"/>
    <s v="Apple MacBook Air"/>
    <n v="4"/>
    <n v="340000"/>
    <n v="0.1"/>
    <n v="65994.820000000007"/>
    <b v="0"/>
  </r>
  <r>
    <n v="100792"/>
    <x v="146"/>
    <s v="C1145"/>
    <s v="Aditya Nair"/>
    <x v="5"/>
    <x v="0"/>
    <s v="ASUS Vivobook 15"/>
    <n v="4"/>
    <n v="200000"/>
    <n v="0.15"/>
    <n v="21487.78"/>
    <b v="0"/>
  </r>
  <r>
    <n v="100793"/>
    <x v="287"/>
    <s v="C1132"/>
    <s v="Amit Kumar"/>
    <x v="5"/>
    <x v="2"/>
    <s v="Lenovo Tab P12"/>
    <n v="1"/>
    <n v="26000"/>
    <n v="0.1"/>
    <n v="3587.33"/>
    <b v="0"/>
  </r>
  <r>
    <n v="100794"/>
    <x v="2"/>
    <s v="C1100"/>
    <s v="Neha Gupta"/>
    <x v="8"/>
    <x v="1"/>
    <s v="Logitech G102"/>
    <n v="1"/>
    <n v="1500"/>
    <n v="0.1"/>
    <n v="312.77"/>
    <b v="0"/>
  </r>
  <r>
    <n v="100795"/>
    <x v="272"/>
    <s v="C1246"/>
    <s v="Rahul Sharma"/>
    <x v="1"/>
    <x v="3"/>
    <s v="boAt Rockerz 550"/>
    <n v="4"/>
    <n v="8000"/>
    <n v="0.05"/>
    <n v="1148.2"/>
    <b v="0"/>
  </r>
  <r>
    <n v="100796"/>
    <x v="106"/>
    <s v="C1130"/>
    <s v="Rahul Sharma"/>
    <x v="5"/>
    <x v="3"/>
    <s v="boAt Rockerz 550"/>
    <n v="4"/>
    <n v="8000"/>
    <n v="0.15"/>
    <n v="1092.3399999999999"/>
    <b v="0"/>
  </r>
  <r>
    <n v="100797"/>
    <x v="170"/>
    <s v="C1241"/>
    <s v="Rohan Desai"/>
    <x v="3"/>
    <x v="3"/>
    <s v="Realme Buds Wireless 3"/>
    <n v="3"/>
    <n v="5400"/>
    <n v="0.15"/>
    <n v="1133.51"/>
    <b v="0"/>
  </r>
  <r>
    <n v="100798"/>
    <x v="0"/>
    <s v="C1152"/>
    <s v="Varun Singh"/>
    <x v="5"/>
    <x v="1"/>
    <s v="Logitech G102"/>
    <n v="3"/>
    <n v="4500"/>
    <n v="0.05"/>
    <n v="681.61"/>
    <b v="0"/>
  </r>
  <r>
    <n v="100799"/>
    <x v="47"/>
    <s v="C1147"/>
    <s v="Meera Kapoor"/>
    <x v="3"/>
    <x v="1"/>
    <s v="Logitech G102"/>
    <n v="3"/>
    <n v="4500"/>
    <n v="0.15"/>
    <n v="802.93"/>
    <b v="0"/>
  </r>
  <r>
    <n v="100800"/>
    <x v="84"/>
    <s v="C1168"/>
    <s v="Pooja Joshi"/>
    <x v="2"/>
    <x v="2"/>
    <s v="Lenovo Tab P12"/>
    <n v="4"/>
    <n v="104000"/>
    <n v="0.15"/>
    <n v="12110.2"/>
    <b v="0"/>
  </r>
  <r>
    <n v="100801"/>
    <x v="312"/>
    <s v="C1204"/>
    <s v="Aditya Nair"/>
    <x v="0"/>
    <x v="2"/>
    <s v="Xiaomi Pad 7"/>
    <n v="1"/>
    <n v="28000"/>
    <n v="0.1"/>
    <n v="4907.8999999999996"/>
    <b v="0"/>
  </r>
  <r>
    <n v="100802"/>
    <x v="253"/>
    <s v="C1189"/>
    <s v="Aditya Nair"/>
    <x v="0"/>
    <x v="2"/>
    <s v="iPad 10th Gen"/>
    <n v="2"/>
    <n v="76000"/>
    <n v="0.15"/>
    <n v="10373.77"/>
    <b v="0"/>
  </r>
  <r>
    <n v="100803"/>
    <x v="200"/>
    <s v="C1162"/>
    <s v="Varun Singh"/>
    <x v="1"/>
    <x v="2"/>
    <s v="iPad 10th Gen"/>
    <n v="2"/>
    <n v="76000"/>
    <n v="0.2"/>
    <n v="13186.18"/>
    <b v="0"/>
  </r>
  <r>
    <n v="100804"/>
    <x v="42"/>
    <s v="C1172"/>
    <s v="Varun Singh"/>
    <x v="5"/>
    <x v="1"/>
    <s v="Razer DeathAdder Essential"/>
    <n v="3"/>
    <n v="5400"/>
    <n v="0.2"/>
    <n v="669.56"/>
    <b v="0"/>
  </r>
  <r>
    <n v="100805"/>
    <x v="283"/>
    <s v="C1188"/>
    <s v="Priya Patel"/>
    <x v="5"/>
    <x v="1"/>
    <s v="Razer DeathAdder Essential"/>
    <n v="4"/>
    <n v="7200"/>
    <n v="0.2"/>
    <n v="1372.05"/>
    <b v="0"/>
  </r>
  <r>
    <n v="100806"/>
    <x v="253"/>
    <s v="C1112"/>
    <s v="Sneha Iyer"/>
    <x v="6"/>
    <x v="3"/>
    <s v="JBL Tune 510BT"/>
    <n v="1"/>
    <n v="3200"/>
    <n v="0.2"/>
    <n v="605.72"/>
    <b v="0"/>
  </r>
  <r>
    <n v="100807"/>
    <x v="130"/>
    <s v="C1172"/>
    <s v="Varun Singh"/>
    <x v="4"/>
    <x v="1"/>
    <s v="Razer DeathAdder Essential"/>
    <n v="1"/>
    <n v="1800"/>
    <n v="0.15"/>
    <n v="373.81"/>
    <b v="0"/>
  </r>
  <r>
    <n v="100808"/>
    <x v="313"/>
    <s v="C1176"/>
    <s v="Neha Gupta"/>
    <x v="2"/>
    <x v="1"/>
    <s v="Razer DeathAdder Essential"/>
    <n v="3"/>
    <n v="5400"/>
    <n v="0.05"/>
    <n v="657.24"/>
    <b v="0"/>
  </r>
  <r>
    <n v="100809"/>
    <x v="64"/>
    <s v="C1167"/>
    <s v="Amit Kumar"/>
    <x v="0"/>
    <x v="1"/>
    <s v="Razer DeathAdder Essential"/>
    <n v="4"/>
    <n v="7200"/>
    <n v="0.15"/>
    <n v="932.14"/>
    <b v="0"/>
  </r>
  <r>
    <n v="100810"/>
    <x v="255"/>
    <s v="C1197"/>
    <s v="Priya Patel"/>
    <x v="2"/>
    <x v="3"/>
    <s v="Realme Buds Wireless 3"/>
    <n v="4"/>
    <n v="7200"/>
    <n v="0.15"/>
    <n v="1430.94"/>
    <b v="0"/>
  </r>
  <r>
    <n v="100811"/>
    <x v="259"/>
    <s v="C1224"/>
    <s v="Karan Malhotra"/>
    <x v="0"/>
    <x v="1"/>
    <s v="Logitech G102"/>
    <n v="1"/>
    <n v="1500"/>
    <n v="0.15"/>
    <n v="295.08999999999997"/>
    <b v="0"/>
  </r>
  <r>
    <n v="100812"/>
    <x v="304"/>
    <s v="C1201"/>
    <s v="Amit Kumar"/>
    <x v="2"/>
    <x v="2"/>
    <s v="Lenovo Tab P12"/>
    <n v="1"/>
    <n v="26000"/>
    <n v="0.1"/>
    <n v="4907.96"/>
    <b v="0"/>
  </r>
  <r>
    <n v="100813"/>
    <x v="282"/>
    <s v="C1231"/>
    <s v="Pooja Joshi"/>
    <x v="8"/>
    <x v="1"/>
    <s v="Razer DeathAdder Essential"/>
    <n v="1"/>
    <n v="1800"/>
    <n v="0.1"/>
    <n v="264.24"/>
    <b v="0"/>
  </r>
  <r>
    <n v="100814"/>
    <x v="304"/>
    <s v="C1201"/>
    <s v="Amit Kumar"/>
    <x v="3"/>
    <x v="0"/>
    <s v="Dell Inspiron 15"/>
    <n v="2"/>
    <n v="110000"/>
    <n v="0.15"/>
    <n v="12678.03"/>
    <b v="0"/>
  </r>
  <r>
    <n v="100815"/>
    <x v="295"/>
    <s v="C1118"/>
    <s v="Siddharth Rao"/>
    <x v="0"/>
    <x v="2"/>
    <s v="Lenovo Tab P12"/>
    <n v="3"/>
    <n v="78000"/>
    <n v="0.15"/>
    <n v="15380.56"/>
    <b v="0"/>
  </r>
  <r>
    <n v="100816"/>
    <x v="304"/>
    <s v="C1181"/>
    <s v="Rohan Desai"/>
    <x v="2"/>
    <x v="2"/>
    <s v="iPad 10th Gen"/>
    <n v="2"/>
    <n v="76000"/>
    <n v="0.2"/>
    <n v="9895.01"/>
    <b v="0"/>
  </r>
  <r>
    <n v="100817"/>
    <x v="141"/>
    <s v="C1240"/>
    <s v="Sneha Iyer"/>
    <x v="5"/>
    <x v="3"/>
    <s v="JBL Tune 510BT"/>
    <n v="2"/>
    <n v="6400"/>
    <n v="0.15"/>
    <n v="1227.01"/>
    <b v="0"/>
  </r>
  <r>
    <n v="100818"/>
    <x v="298"/>
    <s v="C1122"/>
    <s v="Priya Patel"/>
    <x v="4"/>
    <x v="3"/>
    <s v="Realme Buds Wireless 3"/>
    <n v="4"/>
    <n v="7200"/>
    <n v="0.1"/>
    <n v="1500.81"/>
    <b v="0"/>
  </r>
  <r>
    <n v="100819"/>
    <x v="290"/>
    <s v="C1182"/>
    <s v="Aditya Nair"/>
    <x v="8"/>
    <x v="0"/>
    <s v="Apple MacBook Air"/>
    <n v="1"/>
    <n v="85000"/>
    <n v="0.05"/>
    <n v="17478.91"/>
    <b v="0"/>
  </r>
  <r>
    <n v="100820"/>
    <x v="29"/>
    <s v="C1208"/>
    <s v="Aditya Nair"/>
    <x v="8"/>
    <x v="3"/>
    <s v="Sony WH-CH520"/>
    <n v="4"/>
    <n v="18000"/>
    <n v="0.15"/>
    <n v="3572.48"/>
    <b v="0"/>
  </r>
  <r>
    <n v="100821"/>
    <x v="18"/>
    <s v="C1174"/>
    <s v="Meera Kapoor"/>
    <x v="4"/>
    <x v="2"/>
    <s v="Xiaomi Pad 7"/>
    <n v="4"/>
    <n v="112000"/>
    <n v="0.15"/>
    <n v="20303.349999999999"/>
    <b v="0"/>
  </r>
  <r>
    <n v="100822"/>
    <x v="150"/>
    <s v="C1228"/>
    <s v="Meera Kapoor"/>
    <x v="2"/>
    <x v="1"/>
    <s v="Dell Optical Mouse"/>
    <n v="2"/>
    <n v="1000"/>
    <n v="0.15"/>
    <n v="144.37"/>
    <b v="0"/>
  </r>
  <r>
    <n v="100823"/>
    <x v="74"/>
    <s v="C1187"/>
    <s v="Varun Singh"/>
    <x v="5"/>
    <x v="0"/>
    <s v="Dell Inspiron 15"/>
    <n v="3"/>
    <n v="165000"/>
    <n v="0.1"/>
    <n v="28416.7"/>
    <b v="0"/>
  </r>
  <r>
    <n v="100824"/>
    <x v="288"/>
    <s v="C1153"/>
    <s v="Pooja Joshi"/>
    <x v="1"/>
    <x v="2"/>
    <s v="iPad 10th Gen"/>
    <n v="4"/>
    <n v="152000"/>
    <n v="0.05"/>
    <n v="26922.63"/>
    <b v="0"/>
  </r>
  <r>
    <n v="100825"/>
    <x v="314"/>
    <s v="C1188"/>
    <s v="Priya Patel"/>
    <x v="4"/>
    <x v="1"/>
    <s v="Logitech G102"/>
    <n v="3"/>
    <n v="4500"/>
    <n v="0.2"/>
    <n v="819.84"/>
    <b v="0"/>
  </r>
  <r>
    <n v="100826"/>
    <x v="143"/>
    <s v="C1242"/>
    <s v="Rahul Sharma"/>
    <x v="2"/>
    <x v="3"/>
    <s v="JBL Tune 510BT"/>
    <n v="4"/>
    <n v="12800"/>
    <n v="0.15"/>
    <n v="1454.68"/>
    <b v="0"/>
  </r>
  <r>
    <n v="100827"/>
    <x v="73"/>
    <s v="C1164"/>
    <s v="Karan Malhotra"/>
    <x v="4"/>
    <x v="3"/>
    <s v="Sony WH-CH520"/>
    <n v="3"/>
    <n v="13500"/>
    <n v="0.2"/>
    <n v="2274.62"/>
    <b v="0"/>
  </r>
  <r>
    <n v="100828"/>
    <x v="203"/>
    <s v="C1175"/>
    <s v="Karan Malhotra"/>
    <x v="4"/>
    <x v="1"/>
    <s v="HP Wireless Mouse 200"/>
    <n v="1"/>
    <n v="800"/>
    <n v="0.2"/>
    <n v="137.15"/>
    <b v="0"/>
  </r>
  <r>
    <n v="100829"/>
    <x v="131"/>
    <s v="C1242"/>
    <s v="Rahul Sharma"/>
    <x v="0"/>
    <x v="1"/>
    <s v="Razer DeathAdder Essential"/>
    <n v="2"/>
    <n v="3600"/>
    <n v="0.1"/>
    <n v="762.14"/>
    <b v="0"/>
  </r>
  <r>
    <n v="100830"/>
    <x v="188"/>
    <s v="C1248"/>
    <s v="Ananya Verma"/>
    <x v="2"/>
    <x v="1"/>
    <s v="HP Wireless Mouse 200"/>
    <n v="2"/>
    <n v="1600"/>
    <n v="0.15"/>
    <n v="283.27999999999997"/>
    <b v="0"/>
  </r>
  <r>
    <n v="100831"/>
    <x v="132"/>
    <s v="C1246"/>
    <s v="Rahul Sharma"/>
    <x v="1"/>
    <x v="3"/>
    <s v="JBL Tune 510BT"/>
    <n v="4"/>
    <n v="12800"/>
    <n v="0.15"/>
    <n v="1657.49"/>
    <b v="0"/>
  </r>
  <r>
    <n v="100832"/>
    <x v="66"/>
    <s v="C1159"/>
    <s v="Pooja Joshi"/>
    <x v="3"/>
    <x v="1"/>
    <s v="Logitech G102"/>
    <n v="1"/>
    <n v="1500"/>
    <n v="0.1"/>
    <n v="298.10000000000002"/>
    <b v="0"/>
  </r>
  <r>
    <n v="100833"/>
    <x v="267"/>
    <s v="C1192"/>
    <s v="Amit Kumar"/>
    <x v="0"/>
    <x v="3"/>
    <s v="boAt Rockerz 550"/>
    <n v="4"/>
    <n v="8000"/>
    <n v="0.2"/>
    <n v="776.92"/>
    <b v="0"/>
  </r>
  <r>
    <n v="100834"/>
    <x v="113"/>
    <s v="C1148"/>
    <s v="Aditya Nair"/>
    <x v="4"/>
    <x v="0"/>
    <s v="Apple MacBook Air"/>
    <n v="1"/>
    <n v="85000"/>
    <n v="0.1"/>
    <n v="12851.06"/>
    <b v="0"/>
  </r>
  <r>
    <n v="100835"/>
    <x v="145"/>
    <s v="C1134"/>
    <s v="Riya Sen"/>
    <x v="3"/>
    <x v="3"/>
    <s v="Sony WH-CH520"/>
    <n v="1"/>
    <n v="4500"/>
    <n v="0.05"/>
    <n v="802.29"/>
    <b v="0"/>
  </r>
  <r>
    <n v="100836"/>
    <x v="195"/>
    <s v="C1201"/>
    <s v="Amit Kumar"/>
    <x v="6"/>
    <x v="2"/>
    <s v="iPad 10th Gen"/>
    <n v="1"/>
    <n v="38000"/>
    <n v="0.15"/>
    <n v="5998.68"/>
    <b v="0"/>
  </r>
  <r>
    <n v="100837"/>
    <x v="57"/>
    <s v="C1110"/>
    <s v="Rohan Desai"/>
    <x v="3"/>
    <x v="0"/>
    <s v="ASUS Vivobook 15"/>
    <n v="2"/>
    <n v="100000"/>
    <n v="0.1"/>
    <n v="22298.05"/>
    <b v="0"/>
  </r>
  <r>
    <n v="100838"/>
    <x v="68"/>
    <s v="C1198"/>
    <s v="Amit Kumar"/>
    <x v="4"/>
    <x v="2"/>
    <s v="Samsung Galaxy Tab S9"/>
    <n v="1"/>
    <n v="58000"/>
    <n v="0.05"/>
    <n v="11362.12"/>
    <b v="0"/>
  </r>
  <r>
    <n v="100839"/>
    <x v="195"/>
    <s v="C1209"/>
    <s v="Neha Gupta"/>
    <x v="4"/>
    <x v="3"/>
    <s v="Sony WH-CH520"/>
    <n v="1"/>
    <n v="4500"/>
    <n v="0.2"/>
    <n v="629.59"/>
    <b v="0"/>
  </r>
  <r>
    <n v="100840"/>
    <x v="153"/>
    <s v="C1173"/>
    <s v="Karan Malhotra"/>
    <x v="5"/>
    <x v="0"/>
    <s v="Dell Inspiron 15"/>
    <n v="1"/>
    <n v="55000"/>
    <n v="0.2"/>
    <n v="10160.549999999999"/>
    <b v="0"/>
  </r>
  <r>
    <n v="100841"/>
    <x v="72"/>
    <s v="C1108"/>
    <s v="Neha Gupta"/>
    <x v="2"/>
    <x v="3"/>
    <s v="boAt Rockerz 550"/>
    <n v="3"/>
    <n v="6000"/>
    <n v="0.05"/>
    <n v="889.16"/>
    <b v="0"/>
  </r>
  <r>
    <n v="100842"/>
    <x v="167"/>
    <s v="C1102"/>
    <s v="Riya Sen"/>
    <x v="2"/>
    <x v="1"/>
    <s v="Razer DeathAdder Essential"/>
    <n v="4"/>
    <n v="7200"/>
    <n v="0.05"/>
    <n v="1408.38"/>
    <b v="0"/>
  </r>
  <r>
    <n v="100843"/>
    <x v="67"/>
    <s v="C1184"/>
    <s v="Varun Singh"/>
    <x v="0"/>
    <x v="2"/>
    <s v="Samsung Galaxy Tab S9"/>
    <n v="1"/>
    <n v="58000"/>
    <n v="0.15"/>
    <n v="11335.79"/>
    <b v="0"/>
  </r>
  <r>
    <n v="100844"/>
    <x v="86"/>
    <s v="C1125"/>
    <s v="Aditya Nair"/>
    <x v="1"/>
    <x v="0"/>
    <s v="Lenovo IdeaPad 3"/>
    <n v="4"/>
    <n v="180000"/>
    <n v="0.2"/>
    <n v="24326.49"/>
    <b v="0"/>
  </r>
  <r>
    <n v="100845"/>
    <x v="46"/>
    <s v="C1171"/>
    <s v="Priya Patel"/>
    <x v="0"/>
    <x v="0"/>
    <s v="ASUS Vivobook 15"/>
    <n v="1"/>
    <n v="50000"/>
    <n v="0.1"/>
    <n v="6684.86"/>
    <b v="0"/>
  </r>
  <r>
    <n v="100846"/>
    <x v="315"/>
    <s v="C1147"/>
    <s v="Meera Kapoor"/>
    <x v="8"/>
    <x v="0"/>
    <s v="Dell Inspiron 15"/>
    <n v="4"/>
    <n v="220000"/>
    <n v="0.1"/>
    <n v="45481.46"/>
    <b v="0"/>
  </r>
  <r>
    <n v="100847"/>
    <x v="316"/>
    <s v="C1216"/>
    <s v="Priya Patel"/>
    <x v="4"/>
    <x v="2"/>
    <s v="Samsung Galaxy Tab S9"/>
    <n v="3"/>
    <n v="174000"/>
    <n v="0.05"/>
    <n v="22422.49"/>
    <b v="0"/>
  </r>
  <r>
    <n v="100848"/>
    <x v="203"/>
    <s v="C1111"/>
    <s v="Neha Gupta"/>
    <x v="3"/>
    <x v="2"/>
    <s v="Xiaomi Pad 7"/>
    <n v="2"/>
    <n v="56000"/>
    <n v="0.15"/>
    <n v="11459.46"/>
    <b v="0"/>
  </r>
  <r>
    <n v="100849"/>
    <x v="41"/>
    <s v="C1232"/>
    <s v="Neha Gupta"/>
    <x v="6"/>
    <x v="0"/>
    <s v="ASUS Vivobook 15"/>
    <n v="4"/>
    <n v="200000"/>
    <n v="0.2"/>
    <n v="29857.77"/>
    <b v="0"/>
  </r>
  <r>
    <n v="100850"/>
    <x v="161"/>
    <s v="C1147"/>
    <s v="Meera Kapoor"/>
    <x v="4"/>
    <x v="2"/>
    <s v="iPad 10th Gen"/>
    <n v="3"/>
    <n v="114000"/>
    <n v="0.15"/>
    <n v="19454.900000000001"/>
    <b v="0"/>
  </r>
  <r>
    <n v="100851"/>
    <x v="150"/>
    <s v="C1136"/>
    <s v="Pooja Joshi"/>
    <x v="4"/>
    <x v="3"/>
    <s v="Sony WH-CH520"/>
    <n v="1"/>
    <n v="4500"/>
    <n v="0.15"/>
    <n v="476.7"/>
    <b v="0"/>
  </r>
  <r>
    <n v="100852"/>
    <x v="184"/>
    <s v="C1143"/>
    <s v="Karan Malhotra"/>
    <x v="0"/>
    <x v="2"/>
    <s v="Samsung Galaxy Tab S9"/>
    <n v="4"/>
    <n v="232000"/>
    <n v="0.1"/>
    <n v="26517.18"/>
    <b v="0"/>
  </r>
  <r>
    <n v="100853"/>
    <x v="80"/>
    <s v="C1114"/>
    <s v="Siddharth Rao"/>
    <x v="6"/>
    <x v="2"/>
    <s v="Lenovo Tab P12"/>
    <n v="4"/>
    <n v="104000"/>
    <n v="0.05"/>
    <n v="16888.419999999998"/>
    <b v="0"/>
  </r>
  <r>
    <n v="100854"/>
    <x v="123"/>
    <s v="C1142"/>
    <s v="Karan Malhotra"/>
    <x v="6"/>
    <x v="2"/>
    <s v="Samsung Galaxy Tab S9"/>
    <n v="1"/>
    <n v="58000"/>
    <n v="0.05"/>
    <n v="9793.69"/>
    <b v="0"/>
  </r>
  <r>
    <n v="100855"/>
    <x v="145"/>
    <s v="C1186"/>
    <s v="Siddharth Rao"/>
    <x v="6"/>
    <x v="1"/>
    <s v="Logitech G102"/>
    <n v="2"/>
    <n v="3000"/>
    <n v="0.05"/>
    <n v="661.17"/>
    <b v="0"/>
  </r>
  <r>
    <n v="100856"/>
    <x v="299"/>
    <s v="C1169"/>
    <s v="Amit Kumar"/>
    <x v="0"/>
    <x v="1"/>
    <s v="Razer DeathAdder Essential"/>
    <n v="3"/>
    <n v="5400"/>
    <n v="0.1"/>
    <n v="1074.77"/>
    <b v="0"/>
  </r>
  <r>
    <n v="100857"/>
    <x v="52"/>
    <s v="C1145"/>
    <s v="Aditya Nair"/>
    <x v="4"/>
    <x v="2"/>
    <s v="Lenovo Tab P12"/>
    <n v="3"/>
    <n v="78000"/>
    <n v="0.15"/>
    <n v="12120.98"/>
    <b v="0"/>
  </r>
  <r>
    <n v="100858"/>
    <x v="209"/>
    <s v="C1207"/>
    <s v="Siddharth Rao"/>
    <x v="0"/>
    <x v="2"/>
    <s v="iPad 10th Gen"/>
    <n v="4"/>
    <n v="152000"/>
    <n v="0.1"/>
    <n v="20837.189999999999"/>
    <b v="0"/>
  </r>
  <r>
    <n v="100859"/>
    <x v="219"/>
    <s v="C1222"/>
    <s v="Karan Malhotra"/>
    <x v="2"/>
    <x v="0"/>
    <s v="Lenovo IdeaPad 3"/>
    <n v="2"/>
    <n v="90000"/>
    <n v="0.05"/>
    <n v="19791.45"/>
    <b v="0"/>
  </r>
  <r>
    <n v="100860"/>
    <x v="9"/>
    <s v="C1120"/>
    <s v="Vikram Reddy"/>
    <x v="2"/>
    <x v="1"/>
    <s v="Logitech G102"/>
    <n v="1"/>
    <n v="1500"/>
    <n v="0.1"/>
    <n v="222.65"/>
    <b v="0"/>
  </r>
  <r>
    <n v="100861"/>
    <x v="126"/>
    <s v="C1206"/>
    <s v="Meera Kapoor"/>
    <x v="0"/>
    <x v="1"/>
    <s v="HP Wireless Mouse 200"/>
    <n v="4"/>
    <n v="3200"/>
    <n v="0.1"/>
    <n v="433.49"/>
    <b v="0"/>
  </r>
  <r>
    <n v="100862"/>
    <x v="299"/>
    <s v="C1179"/>
    <s v="Siddharth Rao"/>
    <x v="6"/>
    <x v="1"/>
    <s v="Razer DeathAdder Essential"/>
    <n v="4"/>
    <n v="7200"/>
    <n v="0.2"/>
    <n v="1310.85"/>
    <b v="0"/>
  </r>
  <r>
    <n v="100863"/>
    <x v="88"/>
    <s v="C1146"/>
    <s v="Aditya Nair"/>
    <x v="5"/>
    <x v="2"/>
    <s v="Lenovo Tab P12"/>
    <n v="1"/>
    <n v="26000"/>
    <n v="0.1"/>
    <n v="3541.62"/>
    <b v="0"/>
  </r>
  <r>
    <n v="100864"/>
    <x v="173"/>
    <s v="C1216"/>
    <s v="Priya Patel"/>
    <x v="4"/>
    <x v="3"/>
    <s v="Realme Buds Wireless 3"/>
    <n v="3"/>
    <n v="5400"/>
    <n v="0.15"/>
    <n v="662.46"/>
    <b v="0"/>
  </r>
  <r>
    <n v="100865"/>
    <x v="178"/>
    <s v="C1223"/>
    <s v="Karan Malhotra"/>
    <x v="0"/>
    <x v="1"/>
    <s v="Logitech G102"/>
    <n v="3"/>
    <n v="4500"/>
    <n v="0.2"/>
    <n v="627.34"/>
    <b v="0"/>
  </r>
  <r>
    <n v="100866"/>
    <x v="312"/>
    <s v="C1242"/>
    <s v="Rahul Sharma"/>
    <x v="0"/>
    <x v="2"/>
    <s v="Xiaomi Pad 7"/>
    <n v="2"/>
    <n v="56000"/>
    <n v="0.15"/>
    <n v="11313.99"/>
    <b v="0"/>
  </r>
  <r>
    <n v="100867"/>
    <x v="256"/>
    <s v="C1124"/>
    <s v="Karan Malhotra"/>
    <x v="0"/>
    <x v="0"/>
    <s v="Dell Inspiron 15"/>
    <n v="1"/>
    <n v="55000"/>
    <n v="0.1"/>
    <n v="6627.26"/>
    <b v="0"/>
  </r>
  <r>
    <n v="100868"/>
    <x v="99"/>
    <s v="C1135"/>
    <s v="Karan Malhotra"/>
    <x v="5"/>
    <x v="1"/>
    <s v="Razer DeathAdder Essential"/>
    <n v="4"/>
    <n v="7200"/>
    <n v="0.1"/>
    <n v="1028.3399999999999"/>
    <b v="0"/>
  </r>
  <r>
    <n v="100869"/>
    <x v="209"/>
    <s v="C1150"/>
    <s v="Karan Malhotra"/>
    <x v="5"/>
    <x v="0"/>
    <s v="ASUS Vivobook 15"/>
    <n v="3"/>
    <n v="150000"/>
    <n v="0.1"/>
    <n v="32272.42"/>
    <b v="0"/>
  </r>
  <r>
    <n v="100870"/>
    <x v="87"/>
    <s v="C1114"/>
    <s v="Siddharth Rao"/>
    <x v="8"/>
    <x v="1"/>
    <s v="Dell Optical Mouse"/>
    <n v="3"/>
    <n v="1500"/>
    <n v="0.15"/>
    <n v="207.08"/>
    <b v="0"/>
  </r>
  <r>
    <n v="100871"/>
    <x v="202"/>
    <s v="C1167"/>
    <s v="Amit Kumar"/>
    <x v="2"/>
    <x v="2"/>
    <s v="iPad 10th Gen"/>
    <n v="2"/>
    <n v="76000"/>
    <n v="0.05"/>
    <n v="9065.15"/>
    <b v="0"/>
  </r>
  <r>
    <n v="100872"/>
    <x v="283"/>
    <s v="C1120"/>
    <s v="Vikram Reddy"/>
    <x v="3"/>
    <x v="0"/>
    <s v="Apple MacBook Air"/>
    <n v="2"/>
    <n v="170000"/>
    <n v="0.05"/>
    <n v="22988.55"/>
    <b v="0"/>
  </r>
  <r>
    <n v="100873"/>
    <x v="61"/>
    <s v="C1240"/>
    <s v="Sneha Iyer"/>
    <x v="6"/>
    <x v="0"/>
    <s v="Dell Inspiron 15"/>
    <n v="1"/>
    <n v="55000"/>
    <n v="0.05"/>
    <n v="7214.17"/>
    <b v="0"/>
  </r>
  <r>
    <n v="100874"/>
    <x v="179"/>
    <s v="C1118"/>
    <s v="Siddharth Rao"/>
    <x v="1"/>
    <x v="1"/>
    <s v="Logitech G102"/>
    <n v="2"/>
    <n v="3000"/>
    <n v="0.2"/>
    <n v="354.23"/>
    <b v="0"/>
  </r>
  <r>
    <n v="100875"/>
    <x v="75"/>
    <s v="C1133"/>
    <s v="Vikram Reddy"/>
    <x v="5"/>
    <x v="3"/>
    <s v="boAt Rockerz 550"/>
    <n v="4"/>
    <n v="8000"/>
    <n v="0.1"/>
    <n v="1334.31"/>
    <b v="0"/>
  </r>
  <r>
    <n v="100876"/>
    <x v="117"/>
    <s v="C1177"/>
    <s v="Karan Malhotra"/>
    <x v="3"/>
    <x v="0"/>
    <s v="ASUS Vivobook 15"/>
    <n v="3"/>
    <n v="150000"/>
    <n v="0.15"/>
    <n v="31556.66"/>
    <b v="0"/>
  </r>
  <r>
    <n v="100877"/>
    <x v="196"/>
    <s v="C1224"/>
    <s v="Karan Malhotra"/>
    <x v="5"/>
    <x v="0"/>
    <s v="Lenovo IdeaPad 3"/>
    <n v="3"/>
    <n v="135000"/>
    <n v="0.1"/>
    <n v="20535.57"/>
    <b v="0"/>
  </r>
  <r>
    <n v="100878"/>
    <x v="207"/>
    <s v="C1216"/>
    <s v="Priya Patel"/>
    <x v="6"/>
    <x v="3"/>
    <s v="Sony WH-CH520"/>
    <n v="2"/>
    <n v="9000"/>
    <n v="0.2"/>
    <n v="1013.65"/>
    <b v="0"/>
  </r>
  <r>
    <n v="100879"/>
    <x v="238"/>
    <s v="C1151"/>
    <s v="Neha Gupta"/>
    <x v="1"/>
    <x v="1"/>
    <s v="Razer DeathAdder Essential"/>
    <n v="2"/>
    <n v="3600"/>
    <n v="0.1"/>
    <n v="519.5"/>
    <b v="0"/>
  </r>
  <r>
    <n v="100880"/>
    <x v="181"/>
    <s v="C1126"/>
    <s v="Vikram Reddy"/>
    <x v="8"/>
    <x v="0"/>
    <s v="Lenovo IdeaPad 3"/>
    <n v="2"/>
    <n v="90000"/>
    <n v="0.1"/>
    <n v="17506.61"/>
    <b v="0"/>
  </r>
  <r>
    <n v="100881"/>
    <x v="314"/>
    <s v="C1134"/>
    <s v="Riya Sen"/>
    <x v="0"/>
    <x v="3"/>
    <s v="boAt Rockerz 550"/>
    <n v="2"/>
    <n v="4000"/>
    <n v="0.15"/>
    <n v="649.79"/>
    <b v="0"/>
  </r>
  <r>
    <n v="100882"/>
    <x v="138"/>
    <s v="C1235"/>
    <s v="Rahul Sharma"/>
    <x v="8"/>
    <x v="2"/>
    <s v="iPad 10th Gen"/>
    <n v="2"/>
    <n v="76000"/>
    <n v="0.1"/>
    <n v="11884.99"/>
    <b v="0"/>
  </r>
  <r>
    <n v="100883"/>
    <x v="11"/>
    <s v="C1243"/>
    <s v="Siddharth Rao"/>
    <x v="5"/>
    <x v="1"/>
    <s v="HP Wireless Mouse 200"/>
    <n v="2"/>
    <n v="1600"/>
    <n v="0.05"/>
    <n v="371.24"/>
    <b v="0"/>
  </r>
  <r>
    <n v="100884"/>
    <x v="317"/>
    <s v="C1205"/>
    <s v="Meera Kapoor"/>
    <x v="8"/>
    <x v="3"/>
    <s v="JBL Tune 510BT"/>
    <n v="2"/>
    <n v="6400"/>
    <n v="0.05"/>
    <n v="763.67"/>
    <b v="0"/>
  </r>
  <r>
    <n v="100885"/>
    <x v="318"/>
    <s v="C1245"/>
    <s v="Rohan Desai"/>
    <x v="3"/>
    <x v="0"/>
    <s v="Dell Inspiron 15"/>
    <n v="1"/>
    <n v="55000"/>
    <n v="0.05"/>
    <n v="7229.09"/>
    <b v="0"/>
  </r>
  <r>
    <n v="100886"/>
    <x v="319"/>
    <s v="C1101"/>
    <s v="Varun Singh"/>
    <x v="4"/>
    <x v="1"/>
    <s v="Razer DeathAdder Essential"/>
    <n v="1"/>
    <n v="1800"/>
    <n v="0.2"/>
    <n v="356.49"/>
    <b v="0"/>
  </r>
  <r>
    <n v="100887"/>
    <x v="65"/>
    <s v="C1176"/>
    <s v="Neha Gupta"/>
    <x v="5"/>
    <x v="1"/>
    <s v="Dell Optical Mouse"/>
    <n v="2"/>
    <n v="1000"/>
    <n v="0.05"/>
    <n v="156.31"/>
    <b v="0"/>
  </r>
  <r>
    <n v="100888"/>
    <x v="122"/>
    <s v="C1231"/>
    <s v="Pooja Joshi"/>
    <x v="5"/>
    <x v="1"/>
    <s v="HP Wireless Mouse 200"/>
    <n v="3"/>
    <n v="2400"/>
    <n v="0.05"/>
    <n v="316.88"/>
    <b v="0"/>
  </r>
  <r>
    <n v="100889"/>
    <x v="230"/>
    <s v="C1189"/>
    <s v="Aditya Nair"/>
    <x v="3"/>
    <x v="0"/>
    <s v="ASUS Vivobook 15"/>
    <n v="3"/>
    <n v="150000"/>
    <n v="0.15"/>
    <n v="30009.8"/>
    <b v="0"/>
  </r>
  <r>
    <n v="100890"/>
    <x v="105"/>
    <s v="C1188"/>
    <s v="Priya Patel"/>
    <x v="2"/>
    <x v="3"/>
    <s v="JBL Tune 510BT"/>
    <n v="2"/>
    <n v="6400"/>
    <n v="0.15"/>
    <n v="701.62"/>
    <b v="0"/>
  </r>
  <r>
    <n v="100891"/>
    <x v="320"/>
    <s v="C1193"/>
    <s v="Varun Singh"/>
    <x v="1"/>
    <x v="0"/>
    <s v="Apple MacBook Air"/>
    <n v="2"/>
    <n v="170000"/>
    <n v="0.2"/>
    <n v="27558.21"/>
    <b v="0"/>
  </r>
  <r>
    <n v="100892"/>
    <x v="303"/>
    <s v="C1106"/>
    <s v="Riya Sen"/>
    <x v="0"/>
    <x v="1"/>
    <s v="Razer DeathAdder Essential"/>
    <n v="3"/>
    <n v="5400"/>
    <n v="0.1"/>
    <n v="960.05"/>
    <b v="0"/>
  </r>
  <r>
    <n v="100893"/>
    <x v="13"/>
    <s v="C1194"/>
    <s v="Vikram Reddy"/>
    <x v="3"/>
    <x v="3"/>
    <s v="boAt Rockerz 550"/>
    <n v="2"/>
    <n v="4000"/>
    <n v="0.2"/>
    <n v="439.02"/>
    <b v="0"/>
  </r>
  <r>
    <n v="100894"/>
    <x v="42"/>
    <s v="C1207"/>
    <s v="Siddharth Rao"/>
    <x v="1"/>
    <x v="2"/>
    <s v="iPad 10th Gen"/>
    <n v="3"/>
    <n v="114000"/>
    <n v="0.15"/>
    <n v="15405.81"/>
    <b v="0"/>
  </r>
  <r>
    <n v="100895"/>
    <x v="232"/>
    <s v="C1173"/>
    <s v="Karan Malhotra"/>
    <x v="6"/>
    <x v="3"/>
    <s v="Realme Buds Wireless 3"/>
    <n v="4"/>
    <n v="7200"/>
    <n v="0.2"/>
    <n v="1212.42"/>
    <b v="0"/>
  </r>
  <r>
    <n v="100896"/>
    <x v="77"/>
    <s v="C1138"/>
    <s v="Sneha Iyer"/>
    <x v="1"/>
    <x v="1"/>
    <s v="Razer DeathAdder Essential"/>
    <n v="3"/>
    <n v="5400"/>
    <n v="0.2"/>
    <n v="633.02"/>
    <b v="0"/>
  </r>
  <r>
    <n v="100897"/>
    <x v="248"/>
    <s v="C1240"/>
    <s v="Sneha Iyer"/>
    <x v="6"/>
    <x v="2"/>
    <s v="iPad 10th Gen"/>
    <n v="2"/>
    <n v="76000"/>
    <n v="0.1"/>
    <n v="9809.9699999999993"/>
    <b v="0"/>
  </r>
  <r>
    <n v="100898"/>
    <x v="180"/>
    <s v="C1170"/>
    <s v="Ananya Verma"/>
    <x v="3"/>
    <x v="3"/>
    <s v="Sony WH-CH520"/>
    <n v="3"/>
    <n v="13500"/>
    <n v="0.05"/>
    <n v="2110.75"/>
    <b v="0"/>
  </r>
  <r>
    <n v="100899"/>
    <x v="201"/>
    <s v="C1155"/>
    <s v="Ananya Verma"/>
    <x v="5"/>
    <x v="1"/>
    <s v="Dell Optical Mouse"/>
    <n v="2"/>
    <n v="1000"/>
    <n v="0.2"/>
    <n v="167.76"/>
    <b v="0"/>
  </r>
  <r>
    <n v="100900"/>
    <x v="18"/>
    <s v="C1141"/>
    <s v="Amit Kumar"/>
    <x v="5"/>
    <x v="0"/>
    <s v="Dell Inspiron 15"/>
    <n v="2"/>
    <n v="110000"/>
    <n v="0.05"/>
    <n v="20824.310000000001"/>
    <b v="0"/>
  </r>
  <r>
    <n v="100901"/>
    <x v="321"/>
    <s v="C1135"/>
    <s v="Karan Malhotra"/>
    <x v="2"/>
    <x v="1"/>
    <s v="Logitech G102"/>
    <n v="2"/>
    <n v="3000"/>
    <n v="0.05"/>
    <n v="371.86"/>
    <b v="0"/>
  </r>
  <r>
    <n v="100902"/>
    <x v="170"/>
    <s v="C1183"/>
    <s v="Rahul Sharma"/>
    <x v="3"/>
    <x v="3"/>
    <s v="Sony WH-CH520"/>
    <n v="4"/>
    <n v="18000"/>
    <n v="0.05"/>
    <n v="2251.54"/>
    <b v="0"/>
  </r>
  <r>
    <n v="100903"/>
    <x v="250"/>
    <s v="C1217"/>
    <s v="Meera Kapoor"/>
    <x v="6"/>
    <x v="0"/>
    <s v="ASUS Vivobook 15"/>
    <n v="2"/>
    <n v="100000"/>
    <n v="0.2"/>
    <n v="14632.15"/>
    <b v="0"/>
  </r>
  <r>
    <n v="100904"/>
    <x v="138"/>
    <s v="C1106"/>
    <s v="Riya Sen"/>
    <x v="1"/>
    <x v="2"/>
    <s v="Lenovo Tab P12"/>
    <n v="1"/>
    <n v="26000"/>
    <n v="0.2"/>
    <n v="5000.07"/>
    <b v="0"/>
  </r>
  <r>
    <n v="100905"/>
    <x v="219"/>
    <s v="C1153"/>
    <s v="Pooja Joshi"/>
    <x v="1"/>
    <x v="0"/>
    <s v="HP Pavilion 14"/>
    <n v="4"/>
    <n v="248000"/>
    <n v="0.1"/>
    <n v="32755.33"/>
    <b v="0"/>
  </r>
  <r>
    <n v="100906"/>
    <x v="153"/>
    <s v="C1228"/>
    <s v="Meera Kapoor"/>
    <x v="6"/>
    <x v="1"/>
    <s v="Logitech G102"/>
    <n v="1"/>
    <n v="1500"/>
    <n v="0.1"/>
    <n v="317.23"/>
    <b v="0"/>
  </r>
  <r>
    <n v="100907"/>
    <x v="190"/>
    <s v="C1219"/>
    <s v="Siddharth Rao"/>
    <x v="8"/>
    <x v="3"/>
    <s v="Sony WH-CH520"/>
    <n v="1"/>
    <n v="4500"/>
    <n v="0.05"/>
    <n v="621.63"/>
    <b v="0"/>
  </r>
  <r>
    <n v="100908"/>
    <x v="213"/>
    <s v="C1205"/>
    <s v="Meera Kapoor"/>
    <x v="2"/>
    <x v="3"/>
    <s v="Realme Buds Wireless 3"/>
    <n v="1"/>
    <n v="1800"/>
    <n v="0.05"/>
    <n v="278.08"/>
    <b v="0"/>
  </r>
  <r>
    <n v="100909"/>
    <x v="68"/>
    <s v="C1146"/>
    <s v="Aditya Nair"/>
    <x v="4"/>
    <x v="0"/>
    <s v="ASUS Vivobook 15"/>
    <n v="1"/>
    <n v="50000"/>
    <n v="0.15"/>
    <n v="5121.2"/>
    <b v="0"/>
  </r>
  <r>
    <n v="100910"/>
    <x v="298"/>
    <s v="C1222"/>
    <s v="Karan Malhotra"/>
    <x v="5"/>
    <x v="1"/>
    <s v="Dell Optical Mouse"/>
    <n v="4"/>
    <n v="2000"/>
    <n v="0.2"/>
    <n v="312.42"/>
    <b v="0"/>
  </r>
  <r>
    <n v="100911"/>
    <x v="322"/>
    <s v="C1240"/>
    <s v="Sneha Iyer"/>
    <x v="0"/>
    <x v="3"/>
    <s v="boAt Rockerz 550"/>
    <n v="1"/>
    <n v="2000"/>
    <n v="0.15"/>
    <n v="314.32"/>
    <b v="0"/>
  </r>
  <r>
    <n v="100912"/>
    <x v="67"/>
    <s v="C1218"/>
    <s v="Ananya Verma"/>
    <x v="1"/>
    <x v="3"/>
    <s v="boAt Rockerz 550"/>
    <n v="3"/>
    <n v="6000"/>
    <n v="0.15"/>
    <n v="669.75"/>
    <b v="0"/>
  </r>
  <r>
    <n v="100913"/>
    <x v="215"/>
    <s v="C1249"/>
    <s v="Amit Kumar"/>
    <x v="0"/>
    <x v="2"/>
    <s v="Xiaomi Pad 7"/>
    <n v="2"/>
    <n v="56000"/>
    <n v="0.1"/>
    <n v="7762.99"/>
    <b v="0"/>
  </r>
  <r>
    <n v="100914"/>
    <x v="16"/>
    <s v="C1217"/>
    <s v="Meera Kapoor"/>
    <x v="4"/>
    <x v="0"/>
    <s v="HP Pavilion 14"/>
    <n v="4"/>
    <n v="248000"/>
    <n v="0.05"/>
    <n v="34101.64"/>
    <b v="0"/>
  </r>
  <r>
    <n v="100915"/>
    <x v="207"/>
    <s v="C1120"/>
    <s v="Vikram Reddy"/>
    <x v="3"/>
    <x v="0"/>
    <s v="HP Pavilion 14"/>
    <n v="3"/>
    <n v="186000"/>
    <n v="0.05"/>
    <n v="28077.66"/>
    <b v="0"/>
  </r>
  <r>
    <n v="100916"/>
    <x v="323"/>
    <s v="C1236"/>
    <s v="Karan Malhotra"/>
    <x v="0"/>
    <x v="3"/>
    <s v="boAt Rockerz 550"/>
    <n v="4"/>
    <n v="8000"/>
    <n v="0.15"/>
    <n v="1457"/>
    <b v="0"/>
  </r>
  <r>
    <n v="100917"/>
    <x v="314"/>
    <s v="C1125"/>
    <s v="Aditya Nair"/>
    <x v="4"/>
    <x v="0"/>
    <s v="HP Pavilion 14"/>
    <n v="3"/>
    <n v="186000"/>
    <n v="0.2"/>
    <n v="33213.879999999997"/>
    <b v="0"/>
  </r>
  <r>
    <n v="100918"/>
    <x v="114"/>
    <s v="C1108"/>
    <s v="Neha Gupta"/>
    <x v="5"/>
    <x v="0"/>
    <s v="Lenovo IdeaPad 3"/>
    <n v="4"/>
    <n v="180000"/>
    <n v="0.2"/>
    <n v="33099.14"/>
    <b v="0"/>
  </r>
  <r>
    <n v="100919"/>
    <x v="314"/>
    <s v="C1114"/>
    <s v="Siddharth Rao"/>
    <x v="6"/>
    <x v="2"/>
    <s v="Xiaomi Pad 7"/>
    <n v="1"/>
    <n v="28000"/>
    <n v="0.05"/>
    <n v="4581.6899999999996"/>
    <b v="0"/>
  </r>
  <r>
    <n v="100920"/>
    <x v="100"/>
    <s v="C1109"/>
    <s v="Amit Kumar"/>
    <x v="8"/>
    <x v="3"/>
    <s v="Realme Buds Wireless 3"/>
    <n v="2"/>
    <n v="3600"/>
    <n v="0.2"/>
    <n v="626.01"/>
    <b v="0"/>
  </r>
  <r>
    <n v="100921"/>
    <x v="5"/>
    <s v="C1221"/>
    <s v="Pooja Joshi"/>
    <x v="5"/>
    <x v="3"/>
    <s v="Sony WH-CH520"/>
    <n v="4"/>
    <n v="18000"/>
    <n v="0.2"/>
    <n v="2076.98"/>
    <b v="0"/>
  </r>
  <r>
    <n v="100922"/>
    <x v="109"/>
    <s v="C1220"/>
    <s v="Amit Kumar"/>
    <x v="1"/>
    <x v="0"/>
    <s v="Dell Inspiron 15"/>
    <n v="2"/>
    <n v="110000"/>
    <n v="0.1"/>
    <n v="19556.099999999999"/>
    <b v="0"/>
  </r>
  <r>
    <n v="100923"/>
    <x v="247"/>
    <s v="C1224"/>
    <s v="Karan Malhotra"/>
    <x v="4"/>
    <x v="0"/>
    <s v="HP Pavilion 14"/>
    <n v="1"/>
    <n v="62000"/>
    <n v="0.05"/>
    <n v="9981.35"/>
    <b v="0"/>
  </r>
  <r>
    <n v="100924"/>
    <x v="203"/>
    <s v="C1171"/>
    <s v="Priya Patel"/>
    <x v="0"/>
    <x v="1"/>
    <s v="Dell Optical Mouse"/>
    <n v="4"/>
    <n v="2000"/>
    <n v="0.05"/>
    <n v="325.76"/>
    <b v="0"/>
  </r>
  <r>
    <n v="100925"/>
    <x v="324"/>
    <s v="C1148"/>
    <s v="Aditya Nair"/>
    <x v="1"/>
    <x v="2"/>
    <s v="Samsung Galaxy Tab S9"/>
    <n v="4"/>
    <n v="232000"/>
    <n v="0.1"/>
    <n v="33190.21"/>
    <b v="0"/>
  </r>
  <r>
    <n v="100926"/>
    <x v="176"/>
    <s v="C1190"/>
    <s v="Vikram Reddy"/>
    <x v="8"/>
    <x v="2"/>
    <s v="Lenovo Tab P12"/>
    <n v="1"/>
    <n v="26000"/>
    <n v="0.05"/>
    <n v="4949.33"/>
    <b v="0"/>
  </r>
  <r>
    <n v="100927"/>
    <x v="56"/>
    <s v="C1136"/>
    <s v="Pooja Joshi"/>
    <x v="6"/>
    <x v="2"/>
    <s v="Samsung Galaxy Tab S9"/>
    <n v="4"/>
    <n v="232000"/>
    <n v="0.1"/>
    <n v="38925.79"/>
    <b v="0"/>
  </r>
  <r>
    <n v="100928"/>
    <x v="325"/>
    <s v="C1167"/>
    <s v="Amit Kumar"/>
    <x v="3"/>
    <x v="3"/>
    <s v="Realme Buds Wireless 3"/>
    <n v="4"/>
    <n v="7200"/>
    <n v="0.1"/>
    <n v="796.21"/>
    <b v="0"/>
  </r>
  <r>
    <n v="100929"/>
    <x v="277"/>
    <s v="C1149"/>
    <s v="Rohan Desai"/>
    <x v="1"/>
    <x v="1"/>
    <s v="HP Wireless Mouse 200"/>
    <n v="1"/>
    <n v="800"/>
    <n v="0.15"/>
    <n v="115.87"/>
    <b v="0"/>
  </r>
  <r>
    <n v="100930"/>
    <x v="69"/>
    <s v="C1118"/>
    <s v="Siddharth Rao"/>
    <x v="3"/>
    <x v="3"/>
    <s v="Realme Buds Wireless 3"/>
    <n v="2"/>
    <n v="3600"/>
    <n v="0.2"/>
    <n v="666.45"/>
    <b v="0"/>
  </r>
  <r>
    <n v="100931"/>
    <x v="21"/>
    <s v="C1199"/>
    <s v="Karan Malhotra"/>
    <x v="4"/>
    <x v="2"/>
    <s v="iPad 10th Gen"/>
    <n v="3"/>
    <n v="114000"/>
    <n v="0.2"/>
    <n v="19253.46"/>
    <b v="0"/>
  </r>
  <r>
    <n v="100932"/>
    <x v="252"/>
    <s v="C1159"/>
    <s v="Pooja Joshi"/>
    <x v="8"/>
    <x v="3"/>
    <s v="Realme Buds Wireless 3"/>
    <n v="2"/>
    <n v="3600"/>
    <n v="0.2"/>
    <n v="461.44"/>
    <b v="0"/>
  </r>
  <r>
    <n v="100933"/>
    <x v="292"/>
    <s v="C1188"/>
    <s v="Priya Patel"/>
    <x v="0"/>
    <x v="3"/>
    <s v="boAt Rockerz 550"/>
    <n v="2"/>
    <n v="4000"/>
    <n v="0.1"/>
    <n v="664.71"/>
    <b v="0"/>
  </r>
  <r>
    <n v="100934"/>
    <x v="9"/>
    <s v="C1245"/>
    <s v="Rohan Desai"/>
    <x v="8"/>
    <x v="3"/>
    <s v="Sony WH-CH520"/>
    <n v="2"/>
    <n v="9000"/>
    <n v="0.2"/>
    <n v="1652.21"/>
    <b v="0"/>
  </r>
  <r>
    <n v="100935"/>
    <x v="265"/>
    <s v="C1246"/>
    <s v="Rahul Sharma"/>
    <x v="8"/>
    <x v="2"/>
    <s v="Samsung Galaxy Tab S9"/>
    <n v="1"/>
    <n v="58000"/>
    <n v="0.15"/>
    <n v="7144.84"/>
    <b v="0"/>
  </r>
  <r>
    <n v="100936"/>
    <x v="210"/>
    <s v="C1168"/>
    <s v="Pooja Joshi"/>
    <x v="2"/>
    <x v="3"/>
    <s v="Realme Buds Wireless 3"/>
    <n v="3"/>
    <n v="5400"/>
    <n v="0.1"/>
    <n v="713.98"/>
    <b v="0"/>
  </r>
  <r>
    <n v="100937"/>
    <x v="37"/>
    <s v="C1148"/>
    <s v="Aditya Nair"/>
    <x v="8"/>
    <x v="0"/>
    <s v="Dell Inspiron 15"/>
    <n v="1"/>
    <n v="55000"/>
    <n v="0.2"/>
    <n v="7316.85"/>
    <b v="0"/>
  </r>
  <r>
    <n v="100938"/>
    <x v="29"/>
    <s v="C1207"/>
    <s v="Siddharth Rao"/>
    <x v="8"/>
    <x v="0"/>
    <s v="Dell Inspiron 15"/>
    <n v="3"/>
    <n v="165000"/>
    <n v="0.2"/>
    <n v="30042.91"/>
    <b v="0"/>
  </r>
  <r>
    <n v="100939"/>
    <x v="210"/>
    <s v="C1218"/>
    <s v="Ananya Verma"/>
    <x v="5"/>
    <x v="0"/>
    <s v="Apple MacBook Air"/>
    <n v="1"/>
    <n v="85000"/>
    <n v="0.05"/>
    <n v="16359.31"/>
    <b v="0"/>
  </r>
  <r>
    <n v="100940"/>
    <x v="323"/>
    <s v="C1248"/>
    <s v="Ananya Verma"/>
    <x v="1"/>
    <x v="0"/>
    <s v="ASUS Vivobook 15"/>
    <n v="2"/>
    <n v="100000"/>
    <n v="0.05"/>
    <n v="20638"/>
    <b v="0"/>
  </r>
  <r>
    <n v="100941"/>
    <x v="5"/>
    <s v="C1249"/>
    <s v="Amit Kumar"/>
    <x v="0"/>
    <x v="0"/>
    <s v="Dell Inspiron 15"/>
    <n v="2"/>
    <n v="110000"/>
    <n v="0.2"/>
    <n v="21183.15"/>
    <b v="0"/>
  </r>
  <r>
    <n v="100942"/>
    <x v="76"/>
    <s v="C1136"/>
    <s v="Pooja Joshi"/>
    <x v="5"/>
    <x v="0"/>
    <s v="Dell Inspiron 15"/>
    <n v="3"/>
    <n v="165000"/>
    <n v="0.1"/>
    <n v="22937.39"/>
    <b v="0"/>
  </r>
  <r>
    <n v="100943"/>
    <x v="124"/>
    <s v="C1242"/>
    <s v="Rahul Sharma"/>
    <x v="5"/>
    <x v="2"/>
    <s v="Lenovo Tab P12"/>
    <n v="2"/>
    <n v="52000"/>
    <n v="0.2"/>
    <n v="5493.4"/>
    <b v="0"/>
  </r>
  <r>
    <n v="100944"/>
    <x v="278"/>
    <s v="C1110"/>
    <s v="Rohan Desai"/>
    <x v="1"/>
    <x v="2"/>
    <s v="Xiaomi Pad 7"/>
    <n v="2"/>
    <n v="56000"/>
    <n v="0.1"/>
    <n v="6712.24"/>
    <b v="0"/>
  </r>
  <r>
    <n v="100945"/>
    <x v="165"/>
    <s v="C1237"/>
    <s v="Siddharth Rao"/>
    <x v="1"/>
    <x v="1"/>
    <s v="Razer DeathAdder Essential"/>
    <n v="3"/>
    <n v="5400"/>
    <n v="0.15"/>
    <n v="838.57"/>
    <b v="0"/>
  </r>
  <r>
    <n v="100946"/>
    <x v="30"/>
    <s v="C1177"/>
    <s v="Karan Malhotra"/>
    <x v="4"/>
    <x v="1"/>
    <s v="Dell Optical Mouse"/>
    <n v="2"/>
    <n v="1000"/>
    <n v="0.05"/>
    <n v="201.37"/>
    <b v="0"/>
  </r>
  <r>
    <n v="100947"/>
    <x v="187"/>
    <s v="C1176"/>
    <s v="Neha Gupta"/>
    <x v="1"/>
    <x v="0"/>
    <s v="ASUS Vivobook 15"/>
    <n v="4"/>
    <n v="200000"/>
    <n v="0.1"/>
    <n v="38626.57"/>
    <b v="0"/>
  </r>
  <r>
    <n v="100948"/>
    <x v="326"/>
    <s v="C1101"/>
    <s v="Varun Singh"/>
    <x v="2"/>
    <x v="2"/>
    <s v="Lenovo Tab P12"/>
    <n v="1"/>
    <n v="26000"/>
    <n v="0.1"/>
    <n v="4608"/>
    <b v="0"/>
  </r>
  <r>
    <n v="100949"/>
    <x v="224"/>
    <s v="C1163"/>
    <s v="Pooja Joshi"/>
    <x v="2"/>
    <x v="3"/>
    <s v="boAt Rockerz 550"/>
    <n v="3"/>
    <n v="6000"/>
    <n v="0.15"/>
    <n v="1025.3"/>
    <b v="0"/>
  </r>
  <r>
    <n v="100950"/>
    <x v="31"/>
    <s v="C1134"/>
    <s v="Riya Sen"/>
    <x v="5"/>
    <x v="1"/>
    <s v="Dell Optical Mouse"/>
    <n v="1"/>
    <n v="500"/>
    <n v="0.1"/>
    <n v="84.93"/>
    <b v="0"/>
  </r>
  <r>
    <n v="100951"/>
    <x v="38"/>
    <s v="C1106"/>
    <s v="Riya Sen"/>
    <x v="3"/>
    <x v="1"/>
    <s v="Dell Optical Mouse"/>
    <n v="1"/>
    <n v="500"/>
    <n v="0.2"/>
    <n v="58.27"/>
    <b v="0"/>
  </r>
  <r>
    <n v="100952"/>
    <x v="125"/>
    <s v="C1184"/>
    <s v="Varun Singh"/>
    <x v="4"/>
    <x v="3"/>
    <s v="Realme Buds Wireless 3"/>
    <n v="4"/>
    <n v="7200"/>
    <n v="0.2"/>
    <n v="754.82"/>
    <b v="0"/>
  </r>
  <r>
    <n v="100953"/>
    <x v="200"/>
    <s v="C1245"/>
    <s v="Rohan Desai"/>
    <x v="3"/>
    <x v="3"/>
    <s v="boAt Rockerz 550"/>
    <n v="2"/>
    <n v="4000"/>
    <n v="0.2"/>
    <n v="566.09"/>
    <b v="0"/>
  </r>
  <r>
    <n v="100954"/>
    <x v="61"/>
    <s v="C1166"/>
    <s v="Priya Patel"/>
    <x v="3"/>
    <x v="0"/>
    <s v="Apple MacBook Air"/>
    <n v="4"/>
    <n v="340000"/>
    <n v="0.1"/>
    <n v="39493.440000000002"/>
    <b v="0"/>
  </r>
  <r>
    <n v="100955"/>
    <x v="327"/>
    <s v="C1141"/>
    <s v="Amit Kumar"/>
    <x v="5"/>
    <x v="3"/>
    <s v="Realme Buds Wireless 3"/>
    <n v="3"/>
    <n v="5400"/>
    <n v="0.15"/>
    <n v="722.58"/>
    <b v="0"/>
  </r>
  <r>
    <n v="100956"/>
    <x v="124"/>
    <s v="C1217"/>
    <s v="Meera Kapoor"/>
    <x v="6"/>
    <x v="2"/>
    <s v="Samsung Galaxy Tab S9"/>
    <n v="2"/>
    <n v="116000"/>
    <n v="0.1"/>
    <n v="24233.71"/>
    <b v="0"/>
  </r>
  <r>
    <n v="100957"/>
    <x v="124"/>
    <s v="C1224"/>
    <s v="Karan Malhotra"/>
    <x v="5"/>
    <x v="2"/>
    <s v="Lenovo Tab P12"/>
    <n v="2"/>
    <n v="52000"/>
    <n v="0.15"/>
    <n v="5539.21"/>
    <b v="0"/>
  </r>
  <r>
    <n v="100958"/>
    <x v="106"/>
    <s v="C1123"/>
    <s v="Siddharth Rao"/>
    <x v="0"/>
    <x v="2"/>
    <s v="Xiaomi Pad 7"/>
    <n v="3"/>
    <n v="84000"/>
    <n v="0.1"/>
    <n v="9692.2099999999991"/>
    <b v="0"/>
  </r>
  <r>
    <n v="100959"/>
    <x v="66"/>
    <s v="C1145"/>
    <s v="Aditya Nair"/>
    <x v="0"/>
    <x v="1"/>
    <s v="Razer DeathAdder Essential"/>
    <n v="4"/>
    <n v="7200"/>
    <n v="0.2"/>
    <n v="943.75"/>
    <b v="0"/>
  </r>
  <r>
    <n v="100960"/>
    <x v="52"/>
    <s v="C1118"/>
    <s v="Siddharth Rao"/>
    <x v="1"/>
    <x v="2"/>
    <s v="Xiaomi Pad 7"/>
    <n v="1"/>
    <n v="28000"/>
    <n v="0.1"/>
    <n v="4523.0200000000004"/>
    <b v="0"/>
  </r>
  <r>
    <n v="100961"/>
    <x v="313"/>
    <s v="C1167"/>
    <s v="Amit Kumar"/>
    <x v="1"/>
    <x v="0"/>
    <s v="Dell Inspiron 15"/>
    <n v="2"/>
    <n v="110000"/>
    <n v="0.2"/>
    <n v="19141.75"/>
    <b v="0"/>
  </r>
  <r>
    <n v="100962"/>
    <x v="30"/>
    <s v="C1201"/>
    <s v="Amit Kumar"/>
    <x v="6"/>
    <x v="3"/>
    <s v="Realme Buds Wireless 3"/>
    <n v="4"/>
    <n v="7200"/>
    <n v="0.2"/>
    <n v="776.74"/>
    <b v="0"/>
  </r>
  <r>
    <n v="100963"/>
    <x v="29"/>
    <s v="C1141"/>
    <s v="Amit Kumar"/>
    <x v="1"/>
    <x v="2"/>
    <s v="Samsung Galaxy Tab S9"/>
    <n v="1"/>
    <n v="58000"/>
    <n v="0.2"/>
    <n v="7848.06"/>
    <b v="0"/>
  </r>
  <r>
    <n v="100964"/>
    <x v="27"/>
    <s v="C1131"/>
    <s v="Karan Malhotra"/>
    <x v="0"/>
    <x v="2"/>
    <s v="Samsung Galaxy Tab S9"/>
    <n v="1"/>
    <n v="58000"/>
    <n v="0.15"/>
    <n v="10991.52"/>
    <b v="0"/>
  </r>
  <r>
    <n v="100965"/>
    <x v="304"/>
    <s v="C1208"/>
    <s v="Aditya Nair"/>
    <x v="3"/>
    <x v="0"/>
    <s v="Lenovo IdeaPad 3"/>
    <n v="4"/>
    <n v="180000"/>
    <n v="0.1"/>
    <n v="27503.52"/>
    <b v="0"/>
  </r>
  <r>
    <n v="100966"/>
    <x v="328"/>
    <s v="C1135"/>
    <s v="Karan Malhotra"/>
    <x v="5"/>
    <x v="1"/>
    <s v="Dell Optical Mouse"/>
    <n v="3"/>
    <n v="1500"/>
    <n v="0.2"/>
    <n v="291.23"/>
    <b v="0"/>
  </r>
  <r>
    <n v="100967"/>
    <x v="131"/>
    <s v="C1196"/>
    <s v="Meera Kapoor"/>
    <x v="8"/>
    <x v="2"/>
    <s v="Samsung Galaxy Tab S9"/>
    <n v="3"/>
    <n v="174000"/>
    <n v="0.05"/>
    <n v="28286.799999999999"/>
    <b v="0"/>
  </r>
  <r>
    <n v="100968"/>
    <x v="0"/>
    <s v="C1230"/>
    <s v="Rahul Sharma"/>
    <x v="2"/>
    <x v="3"/>
    <s v="JBL Tune 510BT"/>
    <n v="3"/>
    <n v="9600"/>
    <n v="0.1"/>
    <n v="1425.65"/>
    <b v="0"/>
  </r>
  <r>
    <n v="100969"/>
    <x v="328"/>
    <s v="C1172"/>
    <s v="Varun Singh"/>
    <x v="8"/>
    <x v="2"/>
    <s v="Samsung Galaxy Tab S9"/>
    <n v="2"/>
    <n v="116000"/>
    <n v="0.2"/>
    <n v="18582.14"/>
    <b v="0"/>
  </r>
  <r>
    <n v="100970"/>
    <x v="138"/>
    <s v="C1235"/>
    <s v="Rahul Sharma"/>
    <x v="8"/>
    <x v="2"/>
    <s v="Lenovo Tab P12"/>
    <n v="1"/>
    <n v="26000"/>
    <n v="0.1"/>
    <n v="4037.7"/>
    <b v="0"/>
  </r>
  <r>
    <n v="100971"/>
    <x v="97"/>
    <s v="C1196"/>
    <s v="Meera Kapoor"/>
    <x v="0"/>
    <x v="0"/>
    <s v="Dell Inspiron 15"/>
    <n v="2"/>
    <n v="110000"/>
    <n v="0.1"/>
    <n v="19146.91"/>
    <b v="0"/>
  </r>
  <r>
    <n v="100972"/>
    <x v="131"/>
    <s v="C1222"/>
    <s v="Karan Malhotra"/>
    <x v="8"/>
    <x v="0"/>
    <s v="Apple MacBook Air"/>
    <n v="4"/>
    <n v="340000"/>
    <n v="0.05"/>
    <n v="50735.79"/>
    <b v="0"/>
  </r>
  <r>
    <n v="100973"/>
    <x v="116"/>
    <s v="C1169"/>
    <s v="Amit Kumar"/>
    <x v="5"/>
    <x v="1"/>
    <s v="Razer DeathAdder Essential"/>
    <n v="1"/>
    <n v="1800"/>
    <n v="0.1"/>
    <n v="295.91000000000003"/>
    <b v="0"/>
  </r>
  <r>
    <n v="100974"/>
    <x v="193"/>
    <s v="C1112"/>
    <s v="Sneha Iyer"/>
    <x v="6"/>
    <x v="1"/>
    <s v="HP Wireless Mouse 200"/>
    <n v="2"/>
    <n v="1600"/>
    <n v="0.2"/>
    <n v="206.52"/>
    <b v="0"/>
  </r>
  <r>
    <n v="100975"/>
    <x v="47"/>
    <s v="C1148"/>
    <s v="Aditya Nair"/>
    <x v="4"/>
    <x v="3"/>
    <s v="Sony WH-CH520"/>
    <n v="1"/>
    <n v="4500"/>
    <n v="0.05"/>
    <n v="782.89"/>
    <b v="0"/>
  </r>
  <r>
    <n v="100976"/>
    <x v="184"/>
    <s v="C1159"/>
    <s v="Pooja Joshi"/>
    <x v="1"/>
    <x v="0"/>
    <s v="Apple MacBook Air"/>
    <n v="2"/>
    <n v="170000"/>
    <n v="0.1"/>
    <n v="19630.57"/>
    <b v="0"/>
  </r>
  <r>
    <n v="100977"/>
    <x v="105"/>
    <s v="C1229"/>
    <s v="Riya Sen"/>
    <x v="4"/>
    <x v="1"/>
    <s v="Logitech G102"/>
    <n v="3"/>
    <n v="4500"/>
    <n v="0.1"/>
    <n v="757.31"/>
    <b v="0"/>
  </r>
  <r>
    <n v="100978"/>
    <x v="21"/>
    <s v="C1104"/>
    <s v="Sneha Iyer"/>
    <x v="3"/>
    <x v="2"/>
    <s v="Samsung Galaxy Tab S9"/>
    <n v="3"/>
    <n v="174000"/>
    <n v="0.2"/>
    <n v="33103.199999999997"/>
    <b v="0"/>
  </r>
  <r>
    <n v="100979"/>
    <x v="90"/>
    <s v="C1126"/>
    <s v="Vikram Reddy"/>
    <x v="5"/>
    <x v="3"/>
    <s v="Realme Buds Wireless 3"/>
    <n v="2"/>
    <n v="3600"/>
    <n v="0.05"/>
    <n v="793.05"/>
    <b v="0"/>
  </r>
  <r>
    <n v="100980"/>
    <x v="233"/>
    <s v="C1248"/>
    <s v="Ananya Verma"/>
    <x v="5"/>
    <x v="3"/>
    <s v="Sony WH-CH520"/>
    <n v="3"/>
    <n v="13500"/>
    <n v="0.05"/>
    <n v="2196.0500000000002"/>
    <b v="0"/>
  </r>
  <r>
    <n v="100981"/>
    <x v="326"/>
    <s v="C1107"/>
    <s v="Ananya Verma"/>
    <x v="2"/>
    <x v="2"/>
    <s v="Lenovo Tab P12"/>
    <n v="4"/>
    <n v="104000"/>
    <n v="0.2"/>
    <n v="10364.89"/>
    <b v="0"/>
  </r>
  <r>
    <n v="100982"/>
    <x v="209"/>
    <s v="C1149"/>
    <s v="Rohan Desai"/>
    <x v="5"/>
    <x v="2"/>
    <s v="Lenovo Tab P12"/>
    <n v="1"/>
    <n v="26000"/>
    <n v="0.2"/>
    <n v="2930.25"/>
    <b v="0"/>
  </r>
  <r>
    <n v="100983"/>
    <x v="91"/>
    <s v="C1166"/>
    <s v="Priya Patel"/>
    <x v="1"/>
    <x v="0"/>
    <s v="Apple MacBook Air"/>
    <n v="3"/>
    <n v="255000"/>
    <n v="0.1"/>
    <n v="48998.36"/>
    <b v="0"/>
  </r>
  <r>
    <n v="100984"/>
    <x v="329"/>
    <s v="C1143"/>
    <s v="Karan Malhotra"/>
    <x v="5"/>
    <x v="0"/>
    <s v="Apple MacBook Air"/>
    <n v="2"/>
    <n v="170000"/>
    <n v="0.1"/>
    <n v="35166.47"/>
    <b v="0"/>
  </r>
  <r>
    <n v="100985"/>
    <x v="274"/>
    <s v="C1224"/>
    <s v="Karan Malhotra"/>
    <x v="8"/>
    <x v="3"/>
    <s v="JBL Tune 510BT"/>
    <n v="3"/>
    <n v="9600"/>
    <n v="0.2"/>
    <n v="1323.33"/>
    <b v="0"/>
  </r>
  <r>
    <n v="100986"/>
    <x v="282"/>
    <s v="C1157"/>
    <s v="Neha Gupta"/>
    <x v="2"/>
    <x v="1"/>
    <s v="HP Wireless Mouse 200"/>
    <n v="3"/>
    <n v="2400"/>
    <n v="0.2"/>
    <n v="269.05"/>
    <b v="0"/>
  </r>
  <r>
    <n v="100987"/>
    <x v="10"/>
    <s v="C1102"/>
    <s v="Riya Sen"/>
    <x v="1"/>
    <x v="2"/>
    <s v="Xiaomi Pad 7"/>
    <n v="4"/>
    <n v="112000"/>
    <n v="0.15"/>
    <n v="20035.16"/>
    <b v="0"/>
  </r>
  <r>
    <n v="100988"/>
    <x v="89"/>
    <s v="C1185"/>
    <s v="Priya Patel"/>
    <x v="6"/>
    <x v="0"/>
    <s v="Apple MacBook Air"/>
    <n v="3"/>
    <n v="255000"/>
    <n v="0.05"/>
    <n v="43250.34"/>
    <b v="0"/>
  </r>
  <r>
    <n v="100989"/>
    <x v="27"/>
    <s v="C1169"/>
    <s v="Amit Kumar"/>
    <x v="6"/>
    <x v="0"/>
    <s v="Apple MacBook Air"/>
    <n v="1"/>
    <n v="85000"/>
    <n v="0.15"/>
    <n v="16627.98"/>
    <b v="0"/>
  </r>
  <r>
    <n v="100990"/>
    <x v="328"/>
    <s v="C1229"/>
    <s v="Riya Sen"/>
    <x v="6"/>
    <x v="0"/>
    <s v="Dell Inspiron 15"/>
    <n v="4"/>
    <n v="220000"/>
    <n v="0.1"/>
    <n v="43555.63"/>
    <b v="0"/>
  </r>
  <r>
    <n v="100991"/>
    <x v="263"/>
    <s v="C1101"/>
    <s v="Varun Singh"/>
    <x v="6"/>
    <x v="3"/>
    <s v="Realme Buds Wireless 3"/>
    <n v="4"/>
    <n v="7200"/>
    <n v="0.15"/>
    <n v="751.11"/>
    <b v="0"/>
  </r>
  <r>
    <n v="100992"/>
    <x v="320"/>
    <s v="C1201"/>
    <s v="Amit Kumar"/>
    <x v="8"/>
    <x v="0"/>
    <s v="Lenovo IdeaPad 3"/>
    <n v="4"/>
    <n v="180000"/>
    <n v="0.1"/>
    <n v="36638.76"/>
    <b v="0"/>
  </r>
  <r>
    <n v="100993"/>
    <x v="328"/>
    <s v="C1134"/>
    <s v="Riya Sen"/>
    <x v="5"/>
    <x v="3"/>
    <s v="boAt Rockerz 550"/>
    <n v="4"/>
    <n v="8000"/>
    <n v="0.05"/>
    <n v="1443.9"/>
    <b v="0"/>
  </r>
  <r>
    <n v="100994"/>
    <x v="196"/>
    <s v="C1197"/>
    <s v="Priya Patel"/>
    <x v="4"/>
    <x v="2"/>
    <s v="Lenovo Tab P12"/>
    <n v="2"/>
    <n v="52000"/>
    <n v="0.2"/>
    <n v="9478.2900000000009"/>
    <b v="0"/>
  </r>
  <r>
    <n v="100995"/>
    <x v="87"/>
    <s v="C1129"/>
    <s v="Ananya Verma"/>
    <x v="1"/>
    <x v="0"/>
    <s v="HP Pavilion 14"/>
    <n v="2"/>
    <n v="124000"/>
    <n v="0.1"/>
    <n v="24293.65"/>
    <b v="0"/>
  </r>
  <r>
    <n v="100996"/>
    <x v="330"/>
    <s v="C1215"/>
    <s v="Riya Sen"/>
    <x v="8"/>
    <x v="2"/>
    <s v="Xiaomi Pad 7"/>
    <n v="4"/>
    <n v="112000"/>
    <n v="0.1"/>
    <n v="16858.05"/>
    <b v="0"/>
  </r>
  <r>
    <n v="100997"/>
    <x v="178"/>
    <s v="C1107"/>
    <s v="Ananya Verma"/>
    <x v="6"/>
    <x v="2"/>
    <s v="Samsung Galaxy Tab S9"/>
    <n v="4"/>
    <n v="232000"/>
    <n v="0.05"/>
    <n v="35965.410000000003"/>
    <b v="0"/>
  </r>
  <r>
    <n v="100998"/>
    <x v="77"/>
    <s v="C1249"/>
    <s v="Amit Kumar"/>
    <x v="3"/>
    <x v="3"/>
    <s v="boAt Rockerz 550"/>
    <n v="4"/>
    <n v="8000"/>
    <n v="0.05"/>
    <n v="1830.25"/>
    <b v="0"/>
  </r>
  <r>
    <n v="100999"/>
    <x v="153"/>
    <s v="C1143"/>
    <s v="Karan Malhotra"/>
    <x v="5"/>
    <x v="2"/>
    <s v="iPad 10th Gen"/>
    <n v="1"/>
    <n v="38000"/>
    <n v="0.15"/>
    <n v="6977.15"/>
    <b v="0"/>
  </r>
  <r>
    <m/>
    <x v="331"/>
    <m/>
    <m/>
    <x v="9"/>
    <x v="4"/>
    <m/>
    <m/>
    <m/>
    <m/>
    <m/>
    <b v="0"/>
  </r>
  <r>
    <m/>
    <x v="331"/>
    <m/>
    <m/>
    <x v="9"/>
    <x v="4"/>
    <m/>
    <m/>
    <m/>
    <m/>
    <m/>
    <b v="0"/>
  </r>
  <r>
    <m/>
    <x v="331"/>
    <m/>
    <m/>
    <x v="9"/>
    <x v="4"/>
    <m/>
    <m/>
    <m/>
    <m/>
    <m/>
    <b v="0"/>
  </r>
  <r>
    <m/>
    <x v="331"/>
    <m/>
    <m/>
    <x v="9"/>
    <x v="4"/>
    <m/>
    <m/>
    <m/>
    <m/>
    <m/>
    <b v="0"/>
  </r>
  <r>
    <m/>
    <x v="331"/>
    <m/>
    <m/>
    <x v="9"/>
    <x v="4"/>
    <m/>
    <m/>
    <m/>
    <m/>
    <m/>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5F9FD-8EF5-4C73-82FC-C04D6DA38400}"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C8" firstHeaderRow="0" firstDataRow="1" firstDataCol="1"/>
  <pivotFields count="13">
    <pivotField showAll="0"/>
    <pivotField showAll="0">
      <items count="333">
        <item x="207"/>
        <item x="114"/>
        <item x="271"/>
        <item x="62"/>
        <item x="72"/>
        <item x="269"/>
        <item x="277"/>
        <item x="311"/>
        <item x="190"/>
        <item x="299"/>
        <item x="42"/>
        <item x="278"/>
        <item x="27"/>
        <item x="227"/>
        <item x="148"/>
        <item x="159"/>
        <item x="249"/>
        <item x="179"/>
        <item x="135"/>
        <item x="224"/>
        <item x="253"/>
        <item x="173"/>
        <item x="142"/>
        <item x="2"/>
        <item x="40"/>
        <item x="302"/>
        <item x="315"/>
        <item x="79"/>
        <item x="7"/>
        <item x="305"/>
        <item x="182"/>
        <item x="206"/>
        <item x="125"/>
        <item x="246"/>
        <item x="15"/>
        <item x="202"/>
        <item x="175"/>
        <item x="228"/>
        <item x="54"/>
        <item x="51"/>
        <item x="149"/>
        <item x="196"/>
        <item x="8"/>
        <item x="147"/>
        <item x="140"/>
        <item x="34"/>
        <item x="85"/>
        <item x="81"/>
        <item x="307"/>
        <item x="254"/>
        <item x="162"/>
        <item x="309"/>
        <item x="295"/>
        <item x="9"/>
        <item x="239"/>
        <item x="90"/>
        <item x="216"/>
        <item x="89"/>
        <item x="185"/>
        <item x="172"/>
        <item x="70"/>
        <item x="237"/>
        <item x="296"/>
        <item x="306"/>
        <item x="260"/>
        <item x="123"/>
        <item x="215"/>
        <item x="292"/>
        <item x="276"/>
        <item x="78"/>
        <item x="284"/>
        <item x="290"/>
        <item x="248"/>
        <item x="291"/>
        <item x="47"/>
        <item x="210"/>
        <item x="238"/>
        <item x="145"/>
        <item x="16"/>
        <item x="31"/>
        <item x="219"/>
        <item x="98"/>
        <item x="169"/>
        <item x="217"/>
        <item x="10"/>
        <item x="86"/>
        <item x="132"/>
        <item x="197"/>
        <item x="107"/>
        <item x="192"/>
        <item x="124"/>
        <item x="241"/>
        <item x="199"/>
        <item x="308"/>
        <item x="53"/>
        <item x="255"/>
        <item x="304"/>
        <item x="113"/>
        <item x="75"/>
        <item x="164"/>
        <item x="240"/>
        <item x="63"/>
        <item x="204"/>
        <item x="209"/>
        <item x="287"/>
        <item x="121"/>
        <item x="21"/>
        <item x="41"/>
        <item x="153"/>
        <item x="187"/>
        <item x="280"/>
        <item x="186"/>
        <item x="242"/>
        <item x="214"/>
        <item x="327"/>
        <item x="252"/>
        <item x="256"/>
        <item x="52"/>
        <item x="3"/>
        <item x="263"/>
        <item x="67"/>
        <item x="303"/>
        <item x="317"/>
        <item x="117"/>
        <item x="262"/>
        <item x="181"/>
        <item x="38"/>
        <item x="96"/>
        <item x="200"/>
        <item x="259"/>
        <item x="103"/>
        <item x="101"/>
        <item x="275"/>
        <item x="188"/>
        <item x="110"/>
        <item x="150"/>
        <item x="118"/>
        <item x="231"/>
        <item x="35"/>
        <item x="84"/>
        <item x="328"/>
        <item x="45"/>
        <item x="22"/>
        <item x="243"/>
        <item x="205"/>
        <item x="127"/>
        <item x="55"/>
        <item x="244"/>
        <item x="69"/>
        <item x="301"/>
        <item x="270"/>
        <item x="232"/>
        <item x="129"/>
        <item x="50"/>
        <item x="39"/>
        <item x="13"/>
        <item x="178"/>
        <item x="163"/>
        <item x="134"/>
        <item x="245"/>
        <item x="230"/>
        <item x="30"/>
        <item x="74"/>
        <item x="152"/>
        <item x="261"/>
        <item x="138"/>
        <item x="49"/>
        <item x="97"/>
        <item x="168"/>
        <item x="137"/>
        <item x="154"/>
        <item x="225"/>
        <item x="92"/>
        <item x="167"/>
        <item x="221"/>
        <item x="126"/>
        <item x="133"/>
        <item x="193"/>
        <item x="285"/>
        <item x="66"/>
        <item x="104"/>
        <item x="4"/>
        <item x="272"/>
        <item x="88"/>
        <item x="220"/>
        <item x="293"/>
        <item x="251"/>
        <item x="26"/>
        <item x="120"/>
        <item x="283"/>
        <item x="281"/>
        <item x="106"/>
        <item x="313"/>
        <item x="94"/>
        <item x="58"/>
        <item x="329"/>
        <item x="212"/>
        <item x="80"/>
        <item x="286"/>
        <item x="160"/>
        <item x="273"/>
        <item x="166"/>
        <item x="61"/>
        <item x="143"/>
        <item x="17"/>
        <item x="282"/>
        <item x="203"/>
        <item x="139"/>
        <item x="0"/>
        <item x="64"/>
        <item x="71"/>
        <item x="258"/>
        <item x="298"/>
        <item x="37"/>
        <item x="136"/>
        <item x="208"/>
        <item x="95"/>
        <item x="33"/>
        <item x="236"/>
        <item x="46"/>
        <item x="119"/>
        <item x="316"/>
        <item x="130"/>
        <item x="12"/>
        <item x="108"/>
        <item x="43"/>
        <item x="60"/>
        <item x="257"/>
        <item x="102"/>
        <item x="288"/>
        <item x="177"/>
        <item x="82"/>
        <item x="157"/>
        <item x="20"/>
        <item x="229"/>
        <item x="65"/>
        <item x="294"/>
        <item x="320"/>
        <item x="194"/>
        <item x="112"/>
        <item x="141"/>
        <item x="250"/>
        <item x="109"/>
        <item x="6"/>
        <item x="198"/>
        <item x="324"/>
        <item x="191"/>
        <item x="211"/>
        <item x="170"/>
        <item x="105"/>
        <item x="1"/>
        <item x="213"/>
        <item x="222"/>
        <item x="77"/>
        <item x="122"/>
        <item x="155"/>
        <item x="36"/>
        <item x="156"/>
        <item x="25"/>
        <item x="189"/>
        <item x="56"/>
        <item x="165"/>
        <item x="131"/>
        <item x="226"/>
        <item x="325"/>
        <item x="266"/>
        <item x="11"/>
        <item x="91"/>
        <item x="76"/>
        <item x="323"/>
        <item x="111"/>
        <item x="171"/>
        <item x="312"/>
        <item x="264"/>
        <item x="151"/>
        <item x="274"/>
        <item x="115"/>
        <item x="29"/>
        <item x="267"/>
        <item x="18"/>
        <item x="19"/>
        <item x="297"/>
        <item x="146"/>
        <item x="161"/>
        <item x="116"/>
        <item x="48"/>
        <item x="73"/>
        <item x="144"/>
        <item x="68"/>
        <item x="201"/>
        <item x="314"/>
        <item x="180"/>
        <item x="184"/>
        <item x="158"/>
        <item x="87"/>
        <item x="93"/>
        <item x="99"/>
        <item x="44"/>
        <item x="5"/>
        <item x="321"/>
        <item x="233"/>
        <item x="57"/>
        <item x="330"/>
        <item x="319"/>
        <item x="322"/>
        <item x="235"/>
        <item x="234"/>
        <item x="265"/>
        <item x="128"/>
        <item x="83"/>
        <item x="23"/>
        <item x="218"/>
        <item x="176"/>
        <item x="28"/>
        <item x="300"/>
        <item x="59"/>
        <item x="100"/>
        <item x="195"/>
        <item x="289"/>
        <item x="32"/>
        <item x="326"/>
        <item x="183"/>
        <item x="174"/>
        <item x="318"/>
        <item x="223"/>
        <item x="279"/>
        <item x="24"/>
        <item x="14"/>
        <item x="247"/>
        <item x="310"/>
        <item x="268"/>
        <item x="331"/>
        <item t="default"/>
      </items>
    </pivotField>
    <pivotField showAll="0"/>
    <pivotField showAll="0"/>
    <pivotField showAll="0">
      <items count="11">
        <item x="5"/>
        <item x="8"/>
        <item x="2"/>
        <item x="0"/>
        <item x="1"/>
        <item h="1" x="6"/>
        <item x="4"/>
        <item h="1" x="3"/>
        <item h="1" x="7"/>
        <item x="9"/>
        <item t="default"/>
      </items>
    </pivotField>
    <pivotField axis="axisRow" showAll="0">
      <items count="6">
        <item x="3"/>
        <item x="0"/>
        <item x="1"/>
        <item x="2"/>
        <item h="1" x="4"/>
        <item t="default"/>
      </items>
    </pivotField>
    <pivotField showAll="0"/>
    <pivotField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8" baseField="0" baseItem="0" numFmtId="170"/>
    <dataField name="Sum of Profit" fld="10" baseField="0" baseItem="0" numFmtId="165"/>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5" count="1" selected="0">
            <x v="0"/>
          </reference>
        </references>
      </pivotArea>
    </chartFormat>
    <chartFormat chart="3" format="19">
      <pivotArea type="data" outline="0" fieldPosition="0">
        <references count="2">
          <reference field="4294967294" count="1" selected="0">
            <x v="1"/>
          </reference>
          <reference field="5" count="1" selected="0">
            <x v="1"/>
          </reference>
        </references>
      </pivotArea>
    </chartFormat>
    <chartFormat chart="3" format="20">
      <pivotArea type="data" outline="0" fieldPosition="0">
        <references count="2">
          <reference field="4294967294" count="1" selected="0">
            <x v="1"/>
          </reference>
          <reference field="5" count="1" selected="0">
            <x v="2"/>
          </reference>
        </references>
      </pivotArea>
    </chartFormat>
    <chartFormat chart="3" format="2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1B3B8-B92A-4C1C-957E-383FAC3B623D}"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s">
  <location ref="A3:C16" firstHeaderRow="0" firstDataRow="1" firstDataCol="1"/>
  <pivotFields count="13">
    <pivotField showAll="0"/>
    <pivotField showAll="0">
      <items count="333">
        <item x="207"/>
        <item x="114"/>
        <item x="271"/>
        <item x="62"/>
        <item x="72"/>
        <item x="269"/>
        <item x="277"/>
        <item x="311"/>
        <item x="190"/>
        <item x="299"/>
        <item x="42"/>
        <item x="278"/>
        <item x="27"/>
        <item x="227"/>
        <item x="148"/>
        <item x="159"/>
        <item x="249"/>
        <item x="179"/>
        <item x="135"/>
        <item x="224"/>
        <item x="253"/>
        <item x="173"/>
        <item x="142"/>
        <item x="2"/>
        <item x="40"/>
        <item x="302"/>
        <item x="315"/>
        <item x="79"/>
        <item x="7"/>
        <item x="305"/>
        <item x="182"/>
        <item x="206"/>
        <item x="125"/>
        <item x="246"/>
        <item x="15"/>
        <item x="202"/>
        <item x="175"/>
        <item x="228"/>
        <item x="54"/>
        <item x="51"/>
        <item x="149"/>
        <item x="196"/>
        <item x="8"/>
        <item x="147"/>
        <item x="140"/>
        <item x="34"/>
        <item x="85"/>
        <item x="81"/>
        <item x="307"/>
        <item x="254"/>
        <item x="162"/>
        <item x="309"/>
        <item x="295"/>
        <item x="9"/>
        <item x="239"/>
        <item x="90"/>
        <item x="216"/>
        <item x="89"/>
        <item x="185"/>
        <item x="172"/>
        <item x="70"/>
        <item x="237"/>
        <item x="296"/>
        <item x="306"/>
        <item x="260"/>
        <item x="123"/>
        <item x="215"/>
        <item x="292"/>
        <item x="276"/>
        <item x="78"/>
        <item x="284"/>
        <item x="290"/>
        <item x="248"/>
        <item x="291"/>
        <item x="47"/>
        <item x="210"/>
        <item x="238"/>
        <item x="145"/>
        <item x="16"/>
        <item x="31"/>
        <item x="219"/>
        <item x="98"/>
        <item x="169"/>
        <item x="217"/>
        <item x="10"/>
        <item x="86"/>
        <item x="132"/>
        <item x="197"/>
        <item x="107"/>
        <item x="192"/>
        <item x="124"/>
        <item x="241"/>
        <item x="199"/>
        <item x="308"/>
        <item x="53"/>
        <item x="255"/>
        <item x="304"/>
        <item x="113"/>
        <item x="75"/>
        <item x="164"/>
        <item x="240"/>
        <item x="63"/>
        <item x="204"/>
        <item x="209"/>
        <item x="287"/>
        <item x="121"/>
        <item x="21"/>
        <item x="41"/>
        <item x="153"/>
        <item x="187"/>
        <item x="280"/>
        <item x="186"/>
        <item x="242"/>
        <item x="214"/>
        <item x="327"/>
        <item x="252"/>
        <item x="256"/>
        <item x="52"/>
        <item x="3"/>
        <item x="263"/>
        <item x="67"/>
        <item x="303"/>
        <item x="317"/>
        <item x="117"/>
        <item x="262"/>
        <item x="181"/>
        <item x="38"/>
        <item x="96"/>
        <item x="200"/>
        <item x="259"/>
        <item x="103"/>
        <item x="101"/>
        <item x="275"/>
        <item x="188"/>
        <item x="110"/>
        <item x="150"/>
        <item x="118"/>
        <item x="231"/>
        <item x="35"/>
        <item x="84"/>
        <item x="328"/>
        <item x="45"/>
        <item x="22"/>
        <item x="243"/>
        <item x="205"/>
        <item x="127"/>
        <item x="55"/>
        <item x="244"/>
        <item x="69"/>
        <item x="301"/>
        <item x="270"/>
        <item x="232"/>
        <item x="129"/>
        <item x="50"/>
        <item x="39"/>
        <item x="13"/>
        <item x="178"/>
        <item x="163"/>
        <item x="134"/>
        <item x="245"/>
        <item x="230"/>
        <item x="30"/>
        <item x="74"/>
        <item x="152"/>
        <item x="261"/>
        <item x="138"/>
        <item x="49"/>
        <item x="97"/>
        <item x="168"/>
        <item x="137"/>
        <item x="154"/>
        <item x="225"/>
        <item x="92"/>
        <item x="167"/>
        <item x="221"/>
        <item x="126"/>
        <item x="133"/>
        <item x="193"/>
        <item x="285"/>
        <item x="66"/>
        <item x="104"/>
        <item x="4"/>
        <item x="272"/>
        <item x="88"/>
        <item x="220"/>
        <item x="293"/>
        <item x="251"/>
        <item x="26"/>
        <item x="120"/>
        <item x="283"/>
        <item x="281"/>
        <item x="106"/>
        <item x="313"/>
        <item x="94"/>
        <item x="58"/>
        <item x="329"/>
        <item x="212"/>
        <item x="80"/>
        <item x="286"/>
        <item x="160"/>
        <item x="273"/>
        <item x="166"/>
        <item x="61"/>
        <item x="143"/>
        <item x="17"/>
        <item x="282"/>
        <item x="203"/>
        <item x="139"/>
        <item x="0"/>
        <item x="64"/>
        <item x="71"/>
        <item x="258"/>
        <item x="298"/>
        <item x="37"/>
        <item x="136"/>
        <item x="208"/>
        <item x="95"/>
        <item x="33"/>
        <item x="236"/>
        <item x="46"/>
        <item x="119"/>
        <item x="316"/>
        <item x="130"/>
        <item x="12"/>
        <item x="108"/>
        <item x="43"/>
        <item x="60"/>
        <item x="257"/>
        <item x="102"/>
        <item x="288"/>
        <item x="177"/>
        <item x="82"/>
        <item x="157"/>
        <item x="20"/>
        <item x="229"/>
        <item x="65"/>
        <item x="294"/>
        <item x="320"/>
        <item x="194"/>
        <item x="112"/>
        <item x="141"/>
        <item x="250"/>
        <item x="109"/>
        <item x="6"/>
        <item x="198"/>
        <item x="324"/>
        <item x="191"/>
        <item x="211"/>
        <item x="170"/>
        <item x="105"/>
        <item x="1"/>
        <item x="213"/>
        <item x="222"/>
        <item x="77"/>
        <item x="122"/>
        <item x="155"/>
        <item x="36"/>
        <item x="156"/>
        <item x="25"/>
        <item x="189"/>
        <item x="56"/>
        <item x="165"/>
        <item x="131"/>
        <item x="226"/>
        <item x="325"/>
        <item x="266"/>
        <item x="11"/>
        <item x="91"/>
        <item x="76"/>
        <item x="323"/>
        <item x="111"/>
        <item x="171"/>
        <item x="312"/>
        <item x="264"/>
        <item x="151"/>
        <item x="274"/>
        <item x="115"/>
        <item x="29"/>
        <item x="267"/>
        <item x="18"/>
        <item x="19"/>
        <item x="297"/>
        <item x="146"/>
        <item x="161"/>
        <item x="116"/>
        <item x="48"/>
        <item x="73"/>
        <item x="144"/>
        <item x="68"/>
        <item x="201"/>
        <item x="314"/>
        <item x="180"/>
        <item x="184"/>
        <item x="158"/>
        <item x="87"/>
        <item x="93"/>
        <item x="99"/>
        <item x="44"/>
        <item x="5"/>
        <item x="321"/>
        <item x="233"/>
        <item x="57"/>
        <item x="330"/>
        <item x="319"/>
        <item x="322"/>
        <item x="235"/>
        <item x="234"/>
        <item x="265"/>
        <item x="128"/>
        <item x="83"/>
        <item x="23"/>
        <item x="218"/>
        <item x="176"/>
        <item x="28"/>
        <item x="300"/>
        <item x="59"/>
        <item x="100"/>
        <item x="195"/>
        <item x="289"/>
        <item x="32"/>
        <item x="326"/>
        <item x="183"/>
        <item x="174"/>
        <item x="318"/>
        <item x="223"/>
        <item x="279"/>
        <item x="24"/>
        <item x="14"/>
        <item x="247"/>
        <item x="310"/>
        <item x="268"/>
        <item x="331"/>
        <item t="default"/>
      </items>
    </pivotField>
    <pivotField showAll="0"/>
    <pivotField showAll="0"/>
    <pivotField showAll="0">
      <items count="11">
        <item x="5"/>
        <item x="8"/>
        <item x="2"/>
        <item x="0"/>
        <item x="1"/>
        <item h="1" x="6"/>
        <item x="4"/>
        <item h="1" x="3"/>
        <item h="1" x="7"/>
        <item x="9"/>
        <item t="default"/>
      </items>
    </pivotField>
    <pivotField showAll="0">
      <items count="6">
        <item x="3"/>
        <item x="0"/>
        <item x="1"/>
        <item x="2"/>
        <item x="4"/>
        <item t="default"/>
      </items>
    </pivotField>
    <pivotField showAll="0"/>
    <pivotField showAll="0"/>
    <pivotField dataField="1" showAll="0"/>
    <pivotField showAll="0"/>
    <pivotField dataField="1" showAll="0"/>
    <pivotField showAll="0"/>
    <pivotField axis="axisRow" showAll="0">
      <items count="15">
        <item h="1"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8" baseField="0" baseItem="0" numFmtId="165"/>
    <dataField name="Sum of Profit" fld="10"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40751A-3012-4C37-9996-552EF6397414}" sourceName="City">
  <pivotTables>
    <pivotTable tabId="3" name="PivotTable2"/>
    <pivotTable tabId="2" name="PivotTable1"/>
  </pivotTables>
  <data>
    <tabular pivotCacheId="365999419">
      <items count="10">
        <i x="5" s="1"/>
        <i x="8" s="1"/>
        <i x="2" s="1"/>
        <i x="0" s="1"/>
        <i x="1" s="1"/>
        <i x="6"/>
        <i x="4" s="1"/>
        <i x="3"/>
        <i x="7"/>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733000-0A28-4ED4-A580-C238642B34FC}" sourceName="Category">
  <pivotTables>
    <pivotTable tabId="3" name="PivotTable2"/>
  </pivotTables>
  <data>
    <tabular pivotCacheId="365999419">
      <items count="5">
        <i x="3" s="1"/>
        <i x="0" s="1"/>
        <i x="1"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8CBAC5E-2385-4EC5-8FE2-C54ACFBACD8F}" cache="Slicer_City" caption="City" rowHeight="234950"/>
  <slicer name="Category" xr10:uid="{9A0239C0-5988-4A9F-B362-6DCBEE749BA4}"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6"/>
  <sheetViews>
    <sheetView workbookViewId="0"/>
  </sheetViews>
  <sheetFormatPr defaultRowHeight="14.4"/>
  <cols>
    <col min="1" max="1" width="12" style="2" customWidth="1"/>
    <col min="2" max="2" width="13" style="2" customWidth="1"/>
    <col min="3" max="3" width="13.21875" style="2" customWidth="1"/>
    <col min="4" max="4" width="16.88671875" style="2" customWidth="1"/>
    <col min="5" max="5" width="13.33203125" style="2" customWidth="1"/>
    <col min="6" max="6" width="14.88671875" style="2" customWidth="1"/>
    <col min="7" max="7" width="24.109375" style="2" customWidth="1"/>
    <col min="8" max="8" width="12" style="2" customWidth="1"/>
    <col min="9" max="9" width="11.77734375" style="5" customWidth="1"/>
    <col min="10" max="10" width="13.88671875" style="10" customWidth="1"/>
    <col min="11" max="11" width="13.5546875" style="7" customWidth="1"/>
    <col min="12" max="12" width="19.33203125" customWidth="1"/>
  </cols>
  <sheetData>
    <row r="1" spans="1:12">
      <c r="A1" s="1" t="s">
        <v>0</v>
      </c>
      <c r="B1" s="1" t="s">
        <v>1</v>
      </c>
      <c r="C1" s="1" t="s">
        <v>2</v>
      </c>
      <c r="D1" s="1" t="s">
        <v>3</v>
      </c>
      <c r="E1" s="1" t="s">
        <v>4</v>
      </c>
      <c r="F1" s="1" t="s">
        <v>5</v>
      </c>
      <c r="G1" s="1" t="s">
        <v>6</v>
      </c>
      <c r="H1" s="1" t="s">
        <v>7</v>
      </c>
      <c r="I1" s="4" t="s">
        <v>8</v>
      </c>
      <c r="J1" s="9" t="s">
        <v>9</v>
      </c>
      <c r="K1" s="4" t="s">
        <v>10</v>
      </c>
      <c r="L1" s="3" t="s">
        <v>210</v>
      </c>
    </row>
    <row r="2" spans="1:12">
      <c r="A2" s="2">
        <v>100000</v>
      </c>
      <c r="B2" s="14">
        <v>45888</v>
      </c>
      <c r="C2" s="2" t="s">
        <v>11</v>
      </c>
      <c r="D2" s="2" t="s">
        <v>164</v>
      </c>
      <c r="E2" s="2" t="s">
        <v>181</v>
      </c>
      <c r="F2" s="2" t="s">
        <v>189</v>
      </c>
      <c r="G2" s="2" t="s">
        <v>193</v>
      </c>
      <c r="H2" s="2">
        <v>3</v>
      </c>
      <c r="I2" s="5">
        <v>255000</v>
      </c>
      <c r="J2" s="10">
        <v>0.05</v>
      </c>
      <c r="K2" s="7">
        <v>50104.47</v>
      </c>
      <c r="L2" t="b">
        <f>COUNTIF(A:A, A2) &gt; 1</f>
        <v>0</v>
      </c>
    </row>
    <row r="3" spans="1:12">
      <c r="A3" s="2">
        <v>100001</v>
      </c>
      <c r="B3" s="14">
        <v>45932</v>
      </c>
      <c r="C3" s="2" t="s">
        <v>12</v>
      </c>
      <c r="D3" s="2" t="s">
        <v>165</v>
      </c>
      <c r="E3" s="2" t="s">
        <v>182</v>
      </c>
      <c r="F3" s="2" t="s">
        <v>189</v>
      </c>
      <c r="G3" s="2" t="s">
        <v>194</v>
      </c>
      <c r="H3" s="2">
        <v>4</v>
      </c>
      <c r="I3" s="5">
        <v>248000</v>
      </c>
      <c r="J3" s="10">
        <v>0.2</v>
      </c>
      <c r="K3" s="7">
        <v>46554.68</v>
      </c>
      <c r="L3" t="b">
        <f t="shared" ref="L3:L66" si="0">COUNTIF(A:A, A3) &gt; 1</f>
        <v>0</v>
      </c>
    </row>
    <row r="4" spans="1:12">
      <c r="A4" s="2">
        <v>100002</v>
      </c>
      <c r="B4" s="14">
        <v>45685</v>
      </c>
      <c r="C4" s="2" t="s">
        <v>13</v>
      </c>
      <c r="D4" s="2" t="s">
        <v>166</v>
      </c>
      <c r="E4" s="2" t="s">
        <v>183</v>
      </c>
      <c r="F4" s="2" t="s">
        <v>190</v>
      </c>
      <c r="G4" s="2" t="s">
        <v>195</v>
      </c>
      <c r="H4" s="2">
        <v>3</v>
      </c>
      <c r="I4" s="5">
        <v>2400</v>
      </c>
      <c r="J4" s="10">
        <v>0.2</v>
      </c>
      <c r="K4" s="7">
        <v>233.55</v>
      </c>
      <c r="L4" t="b">
        <f t="shared" si="0"/>
        <v>0</v>
      </c>
    </row>
    <row r="5" spans="1:12">
      <c r="A5" s="2">
        <v>100003</v>
      </c>
      <c r="B5" s="14">
        <v>45792</v>
      </c>
      <c r="C5" s="2" t="s">
        <v>14</v>
      </c>
      <c r="D5" s="2" t="s">
        <v>165</v>
      </c>
      <c r="E5" s="2" t="s">
        <v>183</v>
      </c>
      <c r="F5" s="2" t="s">
        <v>189</v>
      </c>
      <c r="G5" s="2" t="s">
        <v>196</v>
      </c>
      <c r="H5" s="2">
        <v>1</v>
      </c>
      <c r="I5" s="5">
        <v>55000</v>
      </c>
      <c r="J5" s="10">
        <v>0.2</v>
      </c>
      <c r="K5" s="7">
        <v>9394.7000000000007</v>
      </c>
      <c r="L5" t="b">
        <f t="shared" si="0"/>
        <v>0</v>
      </c>
    </row>
    <row r="6" spans="1:12">
      <c r="A6" s="2">
        <v>100004</v>
      </c>
      <c r="B6" s="14">
        <v>45858</v>
      </c>
      <c r="C6" s="2" t="s">
        <v>15</v>
      </c>
      <c r="D6" s="2" t="s">
        <v>167</v>
      </c>
      <c r="E6" s="2" t="s">
        <v>183</v>
      </c>
      <c r="F6" s="2" t="s">
        <v>191</v>
      </c>
      <c r="G6" s="2" t="s">
        <v>197</v>
      </c>
      <c r="H6" s="2">
        <v>2</v>
      </c>
      <c r="I6" s="5">
        <v>116000</v>
      </c>
      <c r="J6" s="10">
        <v>0.1</v>
      </c>
      <c r="K6" s="7">
        <v>22455.87</v>
      </c>
      <c r="L6" t="b">
        <f t="shared" si="0"/>
        <v>0</v>
      </c>
    </row>
    <row r="7" spans="1:12">
      <c r="A7" s="2">
        <v>100005</v>
      </c>
      <c r="B7" s="14">
        <v>45985</v>
      </c>
      <c r="C7" s="2" t="s">
        <v>16</v>
      </c>
      <c r="D7" s="2" t="s">
        <v>168</v>
      </c>
      <c r="E7" s="2" t="s">
        <v>184</v>
      </c>
      <c r="F7" s="2" t="s">
        <v>189</v>
      </c>
      <c r="G7" s="2" t="s">
        <v>198</v>
      </c>
      <c r="H7" s="2">
        <v>1</v>
      </c>
      <c r="I7" s="5">
        <v>45000</v>
      </c>
      <c r="J7" s="10">
        <v>0.05</v>
      </c>
      <c r="K7" s="7">
        <v>9681.9500000000007</v>
      </c>
      <c r="L7" t="b">
        <f t="shared" si="0"/>
        <v>0</v>
      </c>
    </row>
    <row r="8" spans="1:12">
      <c r="A8" s="2">
        <v>100006</v>
      </c>
      <c r="B8" s="14">
        <v>45925</v>
      </c>
      <c r="C8" s="2" t="s">
        <v>17</v>
      </c>
      <c r="D8" s="2" t="s">
        <v>169</v>
      </c>
      <c r="E8" s="2" t="s">
        <v>184</v>
      </c>
      <c r="F8" s="2" t="s">
        <v>191</v>
      </c>
      <c r="G8" s="2" t="s">
        <v>197</v>
      </c>
      <c r="H8" s="2">
        <v>3</v>
      </c>
      <c r="I8" s="5">
        <v>174000</v>
      </c>
      <c r="J8" s="10">
        <v>0.2</v>
      </c>
      <c r="K8" s="7">
        <v>22392.48</v>
      </c>
      <c r="L8" t="b">
        <f t="shared" si="0"/>
        <v>0</v>
      </c>
    </row>
    <row r="9" spans="1:12">
      <c r="A9" s="2">
        <v>100007</v>
      </c>
      <c r="B9" s="14">
        <v>45690</v>
      </c>
      <c r="C9" s="2" t="s">
        <v>18</v>
      </c>
      <c r="D9" s="2" t="s">
        <v>170</v>
      </c>
      <c r="E9" s="2" t="s">
        <v>185</v>
      </c>
      <c r="F9" s="2" t="s">
        <v>190</v>
      </c>
      <c r="G9" s="2" t="s">
        <v>199</v>
      </c>
      <c r="H9" s="2">
        <v>3</v>
      </c>
      <c r="I9" s="5">
        <v>5400</v>
      </c>
      <c r="J9" s="10">
        <v>0.2</v>
      </c>
      <c r="K9" s="7">
        <v>776.32</v>
      </c>
      <c r="L9" t="b">
        <f t="shared" si="0"/>
        <v>0</v>
      </c>
    </row>
    <row r="10" spans="1:12">
      <c r="A10" s="2">
        <v>100008</v>
      </c>
      <c r="B10" s="14">
        <v>45705</v>
      </c>
      <c r="C10" s="2" t="s">
        <v>19</v>
      </c>
      <c r="D10" s="2" t="s">
        <v>165</v>
      </c>
      <c r="E10" s="2" t="s">
        <v>184</v>
      </c>
      <c r="F10" s="2" t="s">
        <v>189</v>
      </c>
      <c r="G10" s="2" t="s">
        <v>194</v>
      </c>
      <c r="H10" s="2">
        <v>2</v>
      </c>
      <c r="I10" s="5">
        <v>124000</v>
      </c>
      <c r="J10" s="10">
        <v>0.15</v>
      </c>
      <c r="K10" s="7">
        <v>24703.32</v>
      </c>
      <c r="L10" t="b">
        <f t="shared" si="0"/>
        <v>0</v>
      </c>
    </row>
    <row r="11" spans="1:12">
      <c r="A11" s="2">
        <v>100009</v>
      </c>
      <c r="B11" s="14">
        <v>45719</v>
      </c>
      <c r="C11" s="2" t="s">
        <v>20</v>
      </c>
      <c r="D11" s="2" t="s">
        <v>171</v>
      </c>
      <c r="E11" s="2" t="s">
        <v>186</v>
      </c>
      <c r="F11" s="2" t="s">
        <v>191</v>
      </c>
      <c r="G11" s="2" t="s">
        <v>197</v>
      </c>
      <c r="H11" s="2">
        <v>4</v>
      </c>
      <c r="I11" s="5">
        <v>232000</v>
      </c>
      <c r="J11" s="10">
        <v>0.05</v>
      </c>
      <c r="K11" s="7">
        <v>29684.05</v>
      </c>
      <c r="L11" t="b">
        <f t="shared" si="0"/>
        <v>0</v>
      </c>
    </row>
    <row r="12" spans="1:12">
      <c r="A12" s="2">
        <v>100010</v>
      </c>
      <c r="B12" s="14">
        <v>45755</v>
      </c>
      <c r="C12" s="2" t="s">
        <v>21</v>
      </c>
      <c r="D12" s="2" t="s">
        <v>172</v>
      </c>
      <c r="E12" s="2" t="s">
        <v>181</v>
      </c>
      <c r="F12" s="2" t="s">
        <v>191</v>
      </c>
      <c r="G12" s="2" t="s">
        <v>197</v>
      </c>
      <c r="H12" s="2">
        <v>1</v>
      </c>
      <c r="I12" s="5">
        <v>58000</v>
      </c>
      <c r="J12" s="10">
        <v>0.05</v>
      </c>
      <c r="K12" s="7">
        <v>9621.31</v>
      </c>
      <c r="L12" t="b">
        <f t="shared" si="0"/>
        <v>0</v>
      </c>
    </row>
    <row r="13" spans="1:12">
      <c r="A13" s="2">
        <v>100011</v>
      </c>
      <c r="B13" s="14">
        <v>45950</v>
      </c>
      <c r="C13" s="2" t="s">
        <v>22</v>
      </c>
      <c r="D13" s="2" t="s">
        <v>168</v>
      </c>
      <c r="E13" s="2" t="s">
        <v>187</v>
      </c>
      <c r="F13" s="2" t="s">
        <v>191</v>
      </c>
      <c r="G13" s="2" t="s">
        <v>200</v>
      </c>
      <c r="H13" s="2">
        <v>3</v>
      </c>
      <c r="I13" s="5">
        <v>84000</v>
      </c>
      <c r="J13" s="10">
        <v>0.15</v>
      </c>
      <c r="K13" s="7">
        <v>10343.280000000001</v>
      </c>
      <c r="L13" t="b">
        <f t="shared" si="0"/>
        <v>0</v>
      </c>
    </row>
    <row r="14" spans="1:12">
      <c r="A14" s="2">
        <v>100012</v>
      </c>
      <c r="B14" s="14">
        <v>45904</v>
      </c>
      <c r="C14" s="2" t="s">
        <v>23</v>
      </c>
      <c r="D14" s="2" t="s">
        <v>173</v>
      </c>
      <c r="E14" s="2" t="s">
        <v>187</v>
      </c>
      <c r="F14" s="2" t="s">
        <v>190</v>
      </c>
      <c r="G14" s="2" t="s">
        <v>201</v>
      </c>
      <c r="H14" s="2">
        <v>3</v>
      </c>
      <c r="I14" s="5">
        <v>4500</v>
      </c>
      <c r="J14" s="10">
        <v>0.2</v>
      </c>
      <c r="K14" s="7">
        <v>702.15</v>
      </c>
      <c r="L14" t="b">
        <f t="shared" si="0"/>
        <v>0</v>
      </c>
    </row>
    <row r="15" spans="1:12">
      <c r="A15" s="2">
        <v>100013</v>
      </c>
      <c r="B15" s="14">
        <v>45829</v>
      </c>
      <c r="C15" s="2" t="s">
        <v>24</v>
      </c>
      <c r="D15" s="2" t="s">
        <v>166</v>
      </c>
      <c r="E15" s="2" t="s">
        <v>185</v>
      </c>
      <c r="F15" s="2" t="s">
        <v>189</v>
      </c>
      <c r="G15" s="2" t="s">
        <v>193</v>
      </c>
      <c r="H15" s="2">
        <v>4</v>
      </c>
      <c r="I15" s="5">
        <v>340000</v>
      </c>
      <c r="J15" s="10">
        <v>0.15</v>
      </c>
      <c r="K15" s="7">
        <v>66379.210000000006</v>
      </c>
      <c r="L15" t="b">
        <f t="shared" si="0"/>
        <v>0</v>
      </c>
    </row>
    <row r="16" spans="1:12">
      <c r="A16" s="2">
        <v>100014</v>
      </c>
      <c r="B16" s="14">
        <v>46017</v>
      </c>
      <c r="C16" s="2" t="s">
        <v>25</v>
      </c>
      <c r="D16" s="2" t="s">
        <v>166</v>
      </c>
      <c r="E16" s="2" t="s">
        <v>184</v>
      </c>
      <c r="F16" s="2" t="s">
        <v>190</v>
      </c>
      <c r="G16" s="2" t="s">
        <v>195</v>
      </c>
      <c r="H16" s="2">
        <v>1</v>
      </c>
      <c r="I16" s="5">
        <v>800</v>
      </c>
      <c r="J16" s="10">
        <v>0.2</v>
      </c>
      <c r="K16" s="7">
        <v>138.31</v>
      </c>
      <c r="L16" t="b">
        <f t="shared" si="0"/>
        <v>0</v>
      </c>
    </row>
    <row r="17" spans="1:12">
      <c r="A17" s="2">
        <v>100015</v>
      </c>
      <c r="B17" s="14">
        <v>45696</v>
      </c>
      <c r="C17" s="2" t="s">
        <v>26</v>
      </c>
      <c r="D17" s="2" t="s">
        <v>166</v>
      </c>
      <c r="E17" s="2" t="s">
        <v>211</v>
      </c>
      <c r="F17" s="2" t="s">
        <v>191</v>
      </c>
      <c r="G17" s="2" t="s">
        <v>197</v>
      </c>
      <c r="H17" s="2">
        <v>3</v>
      </c>
      <c r="I17" s="5">
        <v>174000</v>
      </c>
      <c r="J17" s="10">
        <v>0.2</v>
      </c>
      <c r="K17" s="7">
        <v>16773.07</v>
      </c>
      <c r="L17" t="b">
        <f t="shared" si="0"/>
        <v>0</v>
      </c>
    </row>
    <row r="18" spans="1:12">
      <c r="A18" s="2">
        <v>100016</v>
      </c>
      <c r="B18" s="14">
        <v>45749</v>
      </c>
      <c r="C18" s="2" t="s">
        <v>27</v>
      </c>
      <c r="D18" s="2" t="s">
        <v>174</v>
      </c>
      <c r="E18" s="2" t="s">
        <v>182</v>
      </c>
      <c r="F18" s="2" t="s">
        <v>190</v>
      </c>
      <c r="G18" s="2" t="s">
        <v>195</v>
      </c>
      <c r="H18" s="2">
        <v>2</v>
      </c>
      <c r="I18" s="5">
        <v>1600</v>
      </c>
      <c r="J18" s="10">
        <v>0.05</v>
      </c>
      <c r="K18" s="7">
        <v>311.88</v>
      </c>
      <c r="L18" t="b">
        <f t="shared" si="0"/>
        <v>0</v>
      </c>
    </row>
    <row r="19" spans="1:12">
      <c r="A19" s="2">
        <v>100017</v>
      </c>
      <c r="B19" s="14">
        <v>45884</v>
      </c>
      <c r="C19" s="2" t="s">
        <v>28</v>
      </c>
      <c r="D19" s="2" t="s">
        <v>174</v>
      </c>
      <c r="E19" s="2" t="s">
        <v>185</v>
      </c>
      <c r="F19" s="2" t="s">
        <v>189</v>
      </c>
      <c r="G19" s="2" t="s">
        <v>196</v>
      </c>
      <c r="H19" s="2">
        <v>4</v>
      </c>
      <c r="I19" s="5">
        <v>220000</v>
      </c>
      <c r="J19" s="10">
        <v>0.1</v>
      </c>
      <c r="K19" s="7">
        <v>36955.730000000003</v>
      </c>
      <c r="L19" t="b">
        <f t="shared" si="0"/>
        <v>0</v>
      </c>
    </row>
    <row r="20" spans="1:12">
      <c r="A20" s="2">
        <v>100018</v>
      </c>
      <c r="B20" s="14">
        <v>45965</v>
      </c>
      <c r="C20" s="2" t="s">
        <v>29</v>
      </c>
      <c r="D20" s="2" t="s">
        <v>169</v>
      </c>
      <c r="E20" s="2" t="s">
        <v>186</v>
      </c>
      <c r="F20" s="2" t="s">
        <v>191</v>
      </c>
      <c r="G20" s="2" t="s">
        <v>202</v>
      </c>
      <c r="H20" s="2">
        <v>3</v>
      </c>
      <c r="I20" s="5">
        <v>114000</v>
      </c>
      <c r="J20" s="10">
        <v>0.05</v>
      </c>
      <c r="K20" s="7">
        <v>13463.27</v>
      </c>
      <c r="L20" t="b">
        <f t="shared" si="0"/>
        <v>0</v>
      </c>
    </row>
    <row r="21" spans="1:12">
      <c r="A21" s="2">
        <v>100019</v>
      </c>
      <c r="B21" s="14">
        <v>45966</v>
      </c>
      <c r="C21" s="2" t="s">
        <v>20</v>
      </c>
      <c r="D21" s="2" t="s">
        <v>171</v>
      </c>
      <c r="E21" s="2" t="s">
        <v>182</v>
      </c>
      <c r="F21" s="2" t="s">
        <v>189</v>
      </c>
      <c r="G21" s="2" t="s">
        <v>193</v>
      </c>
      <c r="H21" s="2">
        <v>2</v>
      </c>
      <c r="I21" s="5">
        <v>170000</v>
      </c>
      <c r="J21" s="10">
        <v>0.2</v>
      </c>
      <c r="K21" s="7">
        <v>32909.230000000003</v>
      </c>
      <c r="L21" t="b">
        <f t="shared" si="0"/>
        <v>0</v>
      </c>
    </row>
    <row r="22" spans="1:12">
      <c r="A22" s="2">
        <v>100020</v>
      </c>
      <c r="B22" s="14">
        <v>45914</v>
      </c>
      <c r="C22" s="2" t="s">
        <v>30</v>
      </c>
      <c r="D22" s="2" t="s">
        <v>165</v>
      </c>
      <c r="E22" s="2" t="s">
        <v>186</v>
      </c>
      <c r="F22" s="2" t="s">
        <v>192</v>
      </c>
      <c r="G22" s="2" t="s">
        <v>203</v>
      </c>
      <c r="H22" s="2">
        <v>3</v>
      </c>
      <c r="I22" s="5">
        <v>6000</v>
      </c>
      <c r="J22" s="10">
        <v>0.05</v>
      </c>
      <c r="K22" s="7">
        <v>1268.24</v>
      </c>
      <c r="L22" t="b">
        <f t="shared" si="0"/>
        <v>0</v>
      </c>
    </row>
    <row r="23" spans="1:12">
      <c r="A23" s="2">
        <v>100021</v>
      </c>
      <c r="B23" s="14">
        <v>45778</v>
      </c>
      <c r="C23" s="2" t="s">
        <v>20</v>
      </c>
      <c r="D23" s="2" t="s">
        <v>171</v>
      </c>
      <c r="E23" s="2" t="s">
        <v>182</v>
      </c>
      <c r="F23" s="2" t="s">
        <v>189</v>
      </c>
      <c r="G23" s="2" t="s">
        <v>194</v>
      </c>
      <c r="H23" s="2">
        <v>3</v>
      </c>
      <c r="I23" s="5">
        <v>186000</v>
      </c>
      <c r="J23" s="10">
        <v>0.05</v>
      </c>
      <c r="K23" s="7">
        <v>41285.86</v>
      </c>
      <c r="L23" t="b">
        <f t="shared" si="0"/>
        <v>0</v>
      </c>
    </row>
    <row r="24" spans="1:12">
      <c r="A24" s="2">
        <v>100022</v>
      </c>
      <c r="B24" s="14">
        <v>45816</v>
      </c>
      <c r="C24" s="2" t="s">
        <v>31</v>
      </c>
      <c r="D24" s="2" t="s">
        <v>168</v>
      </c>
      <c r="E24" s="2" t="s">
        <v>188</v>
      </c>
      <c r="F24" s="2" t="s">
        <v>190</v>
      </c>
      <c r="G24" s="2" t="s">
        <v>195</v>
      </c>
      <c r="H24" s="2">
        <v>3</v>
      </c>
      <c r="I24" s="5">
        <v>2400</v>
      </c>
      <c r="J24" s="10">
        <v>0.15</v>
      </c>
      <c r="K24" s="7">
        <v>348.16</v>
      </c>
      <c r="L24" t="b">
        <f t="shared" si="0"/>
        <v>0</v>
      </c>
    </row>
    <row r="25" spans="1:12">
      <c r="A25" s="2">
        <v>100023</v>
      </c>
      <c r="B25" s="14">
        <v>46000</v>
      </c>
      <c r="C25" s="2" t="s">
        <v>32</v>
      </c>
      <c r="D25" s="2" t="s">
        <v>165</v>
      </c>
      <c r="E25" s="2" t="s">
        <v>186</v>
      </c>
      <c r="F25" s="2" t="s">
        <v>191</v>
      </c>
      <c r="G25" s="2" t="s">
        <v>197</v>
      </c>
      <c r="H25" s="2">
        <v>2</v>
      </c>
      <c r="I25" s="5">
        <v>116000</v>
      </c>
      <c r="J25" s="10">
        <v>0.2</v>
      </c>
      <c r="K25" s="7">
        <v>15739.77</v>
      </c>
      <c r="L25" t="b">
        <f t="shared" si="0"/>
        <v>0</v>
      </c>
    </row>
    <row r="26" spans="1:12">
      <c r="A26" s="2">
        <v>100024</v>
      </c>
      <c r="B26" s="14">
        <v>46016</v>
      </c>
      <c r="C26" s="2" t="s">
        <v>33</v>
      </c>
      <c r="D26" s="2" t="s">
        <v>175</v>
      </c>
      <c r="E26" s="2" t="s">
        <v>187</v>
      </c>
      <c r="F26" s="2" t="s">
        <v>191</v>
      </c>
      <c r="G26" s="2" t="s">
        <v>202</v>
      </c>
      <c r="H26" s="2">
        <v>3</v>
      </c>
      <c r="I26" s="5">
        <v>114000</v>
      </c>
      <c r="J26" s="10">
        <v>0.1</v>
      </c>
      <c r="K26" s="7">
        <v>23013.8</v>
      </c>
      <c r="L26" t="b">
        <f t="shared" si="0"/>
        <v>0</v>
      </c>
    </row>
    <row r="27" spans="1:12">
      <c r="A27" s="2">
        <v>100025</v>
      </c>
      <c r="B27" s="14">
        <v>45940</v>
      </c>
      <c r="C27" s="2" t="s">
        <v>34</v>
      </c>
      <c r="D27" s="2" t="s">
        <v>176</v>
      </c>
      <c r="E27" s="2" t="s">
        <v>183</v>
      </c>
      <c r="F27" s="2" t="s">
        <v>190</v>
      </c>
      <c r="G27" s="2" t="s">
        <v>204</v>
      </c>
      <c r="H27" s="2">
        <v>1</v>
      </c>
      <c r="I27" s="5">
        <v>500</v>
      </c>
      <c r="J27" s="10">
        <v>0.05</v>
      </c>
      <c r="K27" s="7">
        <v>83.02</v>
      </c>
      <c r="L27" t="b">
        <f t="shared" si="0"/>
        <v>0</v>
      </c>
    </row>
    <row r="28" spans="1:12">
      <c r="A28" s="2">
        <v>100026</v>
      </c>
      <c r="B28" s="14">
        <v>45864</v>
      </c>
      <c r="C28" s="2" t="s">
        <v>35</v>
      </c>
      <c r="D28" s="2" t="s">
        <v>177</v>
      </c>
      <c r="E28" s="2" t="s">
        <v>184</v>
      </c>
      <c r="F28" s="2" t="s">
        <v>191</v>
      </c>
      <c r="G28" s="2" t="s">
        <v>197</v>
      </c>
      <c r="H28" s="2">
        <v>2</v>
      </c>
      <c r="I28" s="5">
        <v>116000</v>
      </c>
      <c r="J28" s="10">
        <v>0.15</v>
      </c>
      <c r="K28" s="7">
        <v>13465.7</v>
      </c>
      <c r="L28" t="b">
        <f t="shared" si="0"/>
        <v>0</v>
      </c>
    </row>
    <row r="29" spans="1:12">
      <c r="A29" s="2">
        <v>100027</v>
      </c>
      <c r="B29" s="14">
        <v>45672</v>
      </c>
      <c r="C29" s="2" t="s">
        <v>36</v>
      </c>
      <c r="D29" s="2" t="s">
        <v>168</v>
      </c>
      <c r="E29" s="2" t="s">
        <v>182</v>
      </c>
      <c r="F29" s="2" t="s">
        <v>189</v>
      </c>
      <c r="G29" s="2" t="s">
        <v>196</v>
      </c>
      <c r="H29" s="2">
        <v>2</v>
      </c>
      <c r="I29" s="5">
        <v>110000</v>
      </c>
      <c r="J29" s="10">
        <v>0.15</v>
      </c>
      <c r="K29" s="7">
        <v>21260.5</v>
      </c>
      <c r="L29" t="b">
        <f t="shared" si="0"/>
        <v>0</v>
      </c>
    </row>
    <row r="30" spans="1:12">
      <c r="A30" s="2">
        <v>100028</v>
      </c>
      <c r="B30" s="14">
        <v>46003</v>
      </c>
      <c r="C30" s="2" t="s">
        <v>37</v>
      </c>
      <c r="D30" s="2" t="s">
        <v>173</v>
      </c>
      <c r="E30" s="2" t="s">
        <v>188</v>
      </c>
      <c r="F30" s="2" t="s">
        <v>190</v>
      </c>
      <c r="G30" s="2" t="s">
        <v>201</v>
      </c>
      <c r="H30" s="2">
        <v>4</v>
      </c>
      <c r="I30" s="5">
        <v>6000</v>
      </c>
      <c r="J30" s="10">
        <v>0.2</v>
      </c>
      <c r="K30" s="7">
        <v>1188.6400000000001</v>
      </c>
      <c r="L30" t="b">
        <f t="shared" si="0"/>
        <v>0</v>
      </c>
    </row>
    <row r="31" spans="1:12">
      <c r="A31" s="2">
        <v>100029</v>
      </c>
      <c r="B31" s="14">
        <v>45963</v>
      </c>
      <c r="C31" s="2" t="s">
        <v>38</v>
      </c>
      <c r="D31" s="2" t="s">
        <v>168</v>
      </c>
      <c r="E31" s="2" t="s">
        <v>186</v>
      </c>
      <c r="F31" s="2" t="s">
        <v>191</v>
      </c>
      <c r="G31" s="2" t="s">
        <v>202</v>
      </c>
      <c r="H31" s="2">
        <v>1</v>
      </c>
      <c r="I31" s="5">
        <v>38000</v>
      </c>
      <c r="J31" s="10">
        <v>0.15</v>
      </c>
      <c r="K31" s="7">
        <v>6513.97</v>
      </c>
      <c r="L31" t="b">
        <f t="shared" si="0"/>
        <v>0</v>
      </c>
    </row>
    <row r="32" spans="1:12">
      <c r="A32" s="2">
        <v>100030</v>
      </c>
      <c r="B32" s="14">
        <v>45836</v>
      </c>
      <c r="C32" s="2" t="s">
        <v>39</v>
      </c>
      <c r="D32" s="2" t="s">
        <v>174</v>
      </c>
      <c r="E32" s="2" t="s">
        <v>187</v>
      </c>
      <c r="F32" s="2" t="s">
        <v>189</v>
      </c>
      <c r="G32" s="2" t="s">
        <v>198</v>
      </c>
      <c r="H32" s="2">
        <v>3</v>
      </c>
      <c r="I32" s="5">
        <v>135000</v>
      </c>
      <c r="J32" s="10">
        <v>0.15</v>
      </c>
      <c r="K32" s="7">
        <v>20480.52</v>
      </c>
      <c r="L32" t="b">
        <f t="shared" si="0"/>
        <v>0</v>
      </c>
    </row>
    <row r="33" spans="1:12">
      <c r="A33" s="2">
        <v>100031</v>
      </c>
      <c r="B33" s="14">
        <v>45750</v>
      </c>
      <c r="C33" s="2" t="s">
        <v>40</v>
      </c>
      <c r="D33" s="2" t="s">
        <v>167</v>
      </c>
      <c r="E33" s="2" t="s">
        <v>183</v>
      </c>
      <c r="F33" s="2" t="s">
        <v>192</v>
      </c>
      <c r="G33" s="2" t="s">
        <v>205</v>
      </c>
      <c r="H33" s="2">
        <v>1</v>
      </c>
      <c r="I33" s="5">
        <v>4500</v>
      </c>
      <c r="J33" s="10">
        <v>0.05</v>
      </c>
      <c r="K33" s="7">
        <v>550.98</v>
      </c>
      <c r="L33" t="b">
        <f t="shared" si="0"/>
        <v>0</v>
      </c>
    </row>
    <row r="34" spans="1:12">
      <c r="A34" s="2">
        <v>100032</v>
      </c>
      <c r="B34" s="14">
        <v>46009</v>
      </c>
      <c r="C34" s="2" t="s">
        <v>41</v>
      </c>
      <c r="D34" s="2" t="s">
        <v>172</v>
      </c>
      <c r="E34" s="2" t="s">
        <v>182</v>
      </c>
      <c r="F34" s="2" t="s">
        <v>189</v>
      </c>
      <c r="G34" s="2" t="s">
        <v>206</v>
      </c>
      <c r="H34" s="2">
        <v>4</v>
      </c>
      <c r="I34" s="5">
        <v>200000</v>
      </c>
      <c r="J34" s="10">
        <v>0.05</v>
      </c>
      <c r="K34" s="7">
        <v>34378.57</v>
      </c>
      <c r="L34" t="b">
        <f t="shared" si="0"/>
        <v>0</v>
      </c>
    </row>
    <row r="35" spans="1:12">
      <c r="A35" s="2">
        <v>100033</v>
      </c>
      <c r="B35" s="14">
        <v>45888</v>
      </c>
      <c r="C35" s="2" t="s">
        <v>42</v>
      </c>
      <c r="D35" s="2" t="s">
        <v>168</v>
      </c>
      <c r="E35" s="2" t="s">
        <v>186</v>
      </c>
      <c r="F35" s="2" t="s">
        <v>189</v>
      </c>
      <c r="G35" s="2" t="s">
        <v>196</v>
      </c>
      <c r="H35" s="2">
        <v>1</v>
      </c>
      <c r="I35" s="5">
        <v>55000</v>
      </c>
      <c r="J35" s="10">
        <v>0.15</v>
      </c>
      <c r="K35" s="7">
        <v>6985.65</v>
      </c>
      <c r="L35" t="b">
        <f t="shared" si="0"/>
        <v>0</v>
      </c>
    </row>
    <row r="36" spans="1:12">
      <c r="A36" s="2">
        <v>100034</v>
      </c>
      <c r="B36" s="14">
        <v>45898</v>
      </c>
      <c r="C36" s="2" t="s">
        <v>43</v>
      </c>
      <c r="D36" s="2" t="s">
        <v>165</v>
      </c>
      <c r="E36" s="2" t="s">
        <v>186</v>
      </c>
      <c r="F36" s="2" t="s">
        <v>191</v>
      </c>
      <c r="G36" s="2" t="s">
        <v>197</v>
      </c>
      <c r="H36" s="2">
        <v>1</v>
      </c>
      <c r="I36" s="5">
        <v>58000</v>
      </c>
      <c r="J36" s="10">
        <v>0.2</v>
      </c>
      <c r="K36" s="7">
        <v>5957.01</v>
      </c>
      <c r="L36" t="b">
        <f t="shared" si="0"/>
        <v>0</v>
      </c>
    </row>
    <row r="37" spans="1:12">
      <c r="A37" s="2">
        <v>100035</v>
      </c>
      <c r="B37" s="14">
        <v>45709</v>
      </c>
      <c r="C37" s="2" t="s">
        <v>44</v>
      </c>
      <c r="D37" s="2" t="s">
        <v>165</v>
      </c>
      <c r="E37" s="2" t="s">
        <v>182</v>
      </c>
      <c r="F37" s="2" t="s">
        <v>192</v>
      </c>
      <c r="G37" s="2" t="s">
        <v>207</v>
      </c>
      <c r="H37" s="2">
        <v>2</v>
      </c>
      <c r="I37" s="5">
        <v>3600</v>
      </c>
      <c r="J37" s="10">
        <v>0.05</v>
      </c>
      <c r="K37" s="7">
        <v>557.29999999999995</v>
      </c>
      <c r="L37" t="b">
        <f t="shared" si="0"/>
        <v>0</v>
      </c>
    </row>
    <row r="38" spans="1:12">
      <c r="A38" s="2">
        <v>100036</v>
      </c>
      <c r="B38" s="14">
        <v>45812</v>
      </c>
      <c r="C38" s="2" t="s">
        <v>45</v>
      </c>
      <c r="D38" s="2" t="s">
        <v>165</v>
      </c>
      <c r="E38" s="2" t="s">
        <v>185</v>
      </c>
      <c r="F38" s="2" t="s">
        <v>191</v>
      </c>
      <c r="G38" s="2" t="s">
        <v>200</v>
      </c>
      <c r="H38" s="2">
        <v>4</v>
      </c>
      <c r="I38" s="5">
        <v>112000</v>
      </c>
      <c r="J38" s="10">
        <v>0.15</v>
      </c>
      <c r="K38" s="7">
        <v>19173.560000000001</v>
      </c>
      <c r="L38" t="b">
        <f t="shared" si="0"/>
        <v>0</v>
      </c>
    </row>
    <row r="39" spans="1:12">
      <c r="A39" s="2">
        <v>100037</v>
      </c>
      <c r="B39" s="14">
        <v>45938</v>
      </c>
      <c r="C39" s="2" t="s">
        <v>46</v>
      </c>
      <c r="D39" s="2" t="s">
        <v>169</v>
      </c>
      <c r="E39" s="2" t="s">
        <v>185</v>
      </c>
      <c r="F39" s="2" t="s">
        <v>192</v>
      </c>
      <c r="G39" s="2" t="s">
        <v>203</v>
      </c>
      <c r="H39" s="2">
        <v>2</v>
      </c>
      <c r="I39" s="5">
        <v>4000</v>
      </c>
      <c r="J39" s="10">
        <v>0.05</v>
      </c>
      <c r="K39" s="7">
        <v>596.92999999999995</v>
      </c>
      <c r="L39" t="b">
        <f t="shared" si="0"/>
        <v>0</v>
      </c>
    </row>
    <row r="40" spans="1:12">
      <c r="A40" s="2">
        <v>100038</v>
      </c>
      <c r="B40" s="14">
        <v>45888</v>
      </c>
      <c r="C40" s="2" t="s">
        <v>47</v>
      </c>
      <c r="D40" s="2" t="s">
        <v>174</v>
      </c>
      <c r="E40" s="2" t="s">
        <v>187</v>
      </c>
      <c r="F40" s="2" t="s">
        <v>192</v>
      </c>
      <c r="G40" s="2" t="s">
        <v>208</v>
      </c>
      <c r="H40" s="2">
        <v>3</v>
      </c>
      <c r="I40" s="5">
        <v>9600</v>
      </c>
      <c r="J40" s="10">
        <v>0.2</v>
      </c>
      <c r="K40" s="7">
        <v>1709.5</v>
      </c>
      <c r="L40" t="b">
        <f t="shared" si="0"/>
        <v>0</v>
      </c>
    </row>
    <row r="41" spans="1:12">
      <c r="A41" s="2">
        <v>100039</v>
      </c>
      <c r="B41" s="14">
        <v>45894</v>
      </c>
      <c r="C41" s="2" t="s">
        <v>18</v>
      </c>
      <c r="D41" s="2" t="s">
        <v>170</v>
      </c>
      <c r="E41" s="2" t="s">
        <v>183</v>
      </c>
      <c r="F41" s="2" t="s">
        <v>189</v>
      </c>
      <c r="G41" s="2" t="s">
        <v>193</v>
      </c>
      <c r="H41" s="2">
        <v>1</v>
      </c>
      <c r="I41" s="5">
        <v>85000</v>
      </c>
      <c r="J41" s="10">
        <v>0.2</v>
      </c>
      <c r="K41" s="7">
        <v>15509.34</v>
      </c>
      <c r="L41" t="b">
        <f t="shared" si="0"/>
        <v>0</v>
      </c>
    </row>
    <row r="42" spans="1:12">
      <c r="A42" s="2">
        <v>100040</v>
      </c>
      <c r="B42" s="14">
        <v>45800</v>
      </c>
      <c r="C42" s="2" t="s">
        <v>48</v>
      </c>
      <c r="D42" s="2" t="s">
        <v>176</v>
      </c>
      <c r="E42" s="2" t="s">
        <v>182</v>
      </c>
      <c r="F42" s="2" t="s">
        <v>190</v>
      </c>
      <c r="G42" s="2" t="s">
        <v>204</v>
      </c>
      <c r="H42" s="2">
        <v>1</v>
      </c>
      <c r="I42" s="5">
        <v>500</v>
      </c>
      <c r="J42" s="10">
        <v>0.05</v>
      </c>
      <c r="K42" s="7">
        <v>62.8</v>
      </c>
      <c r="L42" t="b">
        <f t="shared" si="0"/>
        <v>0</v>
      </c>
    </row>
    <row r="43" spans="1:12">
      <c r="A43" s="2">
        <v>100041</v>
      </c>
      <c r="B43" s="14">
        <v>45828</v>
      </c>
      <c r="C43" s="2" t="s">
        <v>26</v>
      </c>
      <c r="D43" s="2" t="s">
        <v>166</v>
      </c>
      <c r="E43" s="2" t="s">
        <v>187</v>
      </c>
      <c r="F43" s="2" t="s">
        <v>189</v>
      </c>
      <c r="G43" s="2" t="s">
        <v>206</v>
      </c>
      <c r="H43" s="2">
        <v>4</v>
      </c>
      <c r="I43" s="5">
        <v>200000</v>
      </c>
      <c r="J43" s="10">
        <v>0.15</v>
      </c>
      <c r="K43" s="7">
        <v>38727.24</v>
      </c>
      <c r="L43" t="b">
        <f t="shared" si="0"/>
        <v>0</v>
      </c>
    </row>
    <row r="44" spans="1:12">
      <c r="A44" s="2">
        <v>100042</v>
      </c>
      <c r="B44" s="14">
        <v>45686</v>
      </c>
      <c r="C44" s="2" t="s">
        <v>49</v>
      </c>
      <c r="D44" s="2" t="s">
        <v>173</v>
      </c>
      <c r="E44" s="2" t="s">
        <v>211</v>
      </c>
      <c r="F44" s="2" t="s">
        <v>192</v>
      </c>
      <c r="G44" s="2" t="s">
        <v>207</v>
      </c>
      <c r="H44" s="2">
        <v>1</v>
      </c>
      <c r="I44" s="5">
        <v>1800</v>
      </c>
      <c r="J44" s="10">
        <v>0.2</v>
      </c>
      <c r="K44" s="7">
        <v>269.67</v>
      </c>
      <c r="L44" t="b">
        <f t="shared" si="0"/>
        <v>0</v>
      </c>
    </row>
    <row r="45" spans="1:12">
      <c r="A45" s="2">
        <v>100043</v>
      </c>
      <c r="B45" s="14">
        <v>45779</v>
      </c>
      <c r="C45" s="2" t="s">
        <v>50</v>
      </c>
      <c r="D45" s="2" t="s">
        <v>164</v>
      </c>
      <c r="E45" s="2" t="s">
        <v>181</v>
      </c>
      <c r="F45" s="2" t="s">
        <v>190</v>
      </c>
      <c r="G45" s="2" t="s">
        <v>204</v>
      </c>
      <c r="H45" s="2">
        <v>4</v>
      </c>
      <c r="I45" s="5">
        <v>2000</v>
      </c>
      <c r="J45" s="10">
        <v>0.1</v>
      </c>
      <c r="K45" s="7">
        <v>317.7</v>
      </c>
      <c r="L45" t="b">
        <f t="shared" si="0"/>
        <v>0</v>
      </c>
    </row>
    <row r="46" spans="1:12">
      <c r="A46" s="2">
        <v>100044</v>
      </c>
      <c r="B46" s="14">
        <v>45670</v>
      </c>
      <c r="C46" s="2" t="s">
        <v>25</v>
      </c>
      <c r="D46" s="2" t="s">
        <v>166</v>
      </c>
      <c r="E46" s="2" t="s">
        <v>186</v>
      </c>
      <c r="F46" s="2" t="s">
        <v>190</v>
      </c>
      <c r="G46" s="2" t="s">
        <v>195</v>
      </c>
      <c r="H46" s="2">
        <v>1</v>
      </c>
      <c r="I46" s="5">
        <v>800</v>
      </c>
      <c r="J46" s="10">
        <v>0.15</v>
      </c>
      <c r="K46" s="7">
        <v>160.5</v>
      </c>
      <c r="L46" t="b">
        <f t="shared" si="0"/>
        <v>0</v>
      </c>
    </row>
    <row r="47" spans="1:12">
      <c r="A47" s="2">
        <v>100045</v>
      </c>
      <c r="B47" s="14">
        <v>45906</v>
      </c>
      <c r="C47" s="2" t="s">
        <v>51</v>
      </c>
      <c r="D47" s="2" t="s">
        <v>176</v>
      </c>
      <c r="E47" s="2" t="s">
        <v>184</v>
      </c>
      <c r="F47" s="2" t="s">
        <v>189</v>
      </c>
      <c r="G47" s="2" t="s">
        <v>193</v>
      </c>
      <c r="H47" s="2">
        <v>3</v>
      </c>
      <c r="I47" s="5">
        <v>255000</v>
      </c>
      <c r="J47" s="10">
        <v>0.1</v>
      </c>
      <c r="K47" s="7">
        <v>45193.279999999999</v>
      </c>
      <c r="L47" t="b">
        <f t="shared" si="0"/>
        <v>0</v>
      </c>
    </row>
    <row r="48" spans="1:12">
      <c r="A48" s="2">
        <v>100046</v>
      </c>
      <c r="B48" s="14">
        <v>45984</v>
      </c>
      <c r="C48" s="2" t="s">
        <v>52</v>
      </c>
      <c r="D48" s="2" t="s">
        <v>170</v>
      </c>
      <c r="E48" s="2" t="s">
        <v>186</v>
      </c>
      <c r="F48" s="2" t="s">
        <v>189</v>
      </c>
      <c r="G48" s="2" t="s">
        <v>196</v>
      </c>
      <c r="H48" s="2">
        <v>4</v>
      </c>
      <c r="I48" s="5">
        <v>220000</v>
      </c>
      <c r="J48" s="10">
        <v>0.15</v>
      </c>
      <c r="K48" s="7">
        <v>34895.56</v>
      </c>
      <c r="L48" t="b">
        <f t="shared" si="0"/>
        <v>0</v>
      </c>
    </row>
    <row r="49" spans="1:12">
      <c r="A49" s="2">
        <v>100047</v>
      </c>
      <c r="B49" s="14">
        <v>45815</v>
      </c>
      <c r="C49" s="2" t="s">
        <v>48</v>
      </c>
      <c r="D49" s="2" t="s">
        <v>176</v>
      </c>
      <c r="E49" s="2" t="s">
        <v>185</v>
      </c>
      <c r="F49" s="2" t="s">
        <v>192</v>
      </c>
      <c r="G49" s="2" t="s">
        <v>207</v>
      </c>
      <c r="H49" s="2">
        <v>2</v>
      </c>
      <c r="I49" s="5">
        <v>3600</v>
      </c>
      <c r="J49" s="10">
        <v>0.2</v>
      </c>
      <c r="K49" s="7">
        <v>528.17999999999995</v>
      </c>
      <c r="L49" t="b">
        <f t="shared" si="0"/>
        <v>0</v>
      </c>
    </row>
    <row r="50" spans="1:12">
      <c r="A50" s="2">
        <v>100048</v>
      </c>
      <c r="B50" s="14">
        <v>45900</v>
      </c>
      <c r="C50" s="2" t="s">
        <v>53</v>
      </c>
      <c r="D50" s="2" t="s">
        <v>171</v>
      </c>
      <c r="E50" s="2" t="s">
        <v>183</v>
      </c>
      <c r="F50" s="2" t="s">
        <v>191</v>
      </c>
      <c r="G50" s="2" t="s">
        <v>209</v>
      </c>
      <c r="H50" s="2">
        <v>2</v>
      </c>
      <c r="I50" s="5">
        <v>52000</v>
      </c>
      <c r="J50" s="10">
        <v>0.2</v>
      </c>
      <c r="K50" s="7">
        <v>8240.32</v>
      </c>
      <c r="L50" t="b">
        <f t="shared" si="0"/>
        <v>0</v>
      </c>
    </row>
    <row r="51" spans="1:12">
      <c r="A51" s="2">
        <v>100049</v>
      </c>
      <c r="B51" s="14">
        <v>45743</v>
      </c>
      <c r="C51" s="2" t="s">
        <v>54</v>
      </c>
      <c r="D51" s="2" t="s">
        <v>170</v>
      </c>
      <c r="E51" s="2" t="s">
        <v>186</v>
      </c>
      <c r="F51" s="2" t="s">
        <v>190</v>
      </c>
      <c r="G51" s="2" t="s">
        <v>201</v>
      </c>
      <c r="H51" s="2">
        <v>1</v>
      </c>
      <c r="I51" s="5">
        <v>1500</v>
      </c>
      <c r="J51" s="10">
        <v>0.2</v>
      </c>
      <c r="K51" s="7">
        <v>242.92</v>
      </c>
      <c r="L51" t="b">
        <f t="shared" si="0"/>
        <v>0</v>
      </c>
    </row>
    <row r="52" spans="1:12">
      <c r="A52" s="2">
        <v>100050</v>
      </c>
      <c r="B52" s="14">
        <v>45971</v>
      </c>
      <c r="C52" s="2" t="s">
        <v>11</v>
      </c>
      <c r="D52" s="2" t="s">
        <v>164</v>
      </c>
      <c r="E52" s="2" t="s">
        <v>182</v>
      </c>
      <c r="F52" s="2" t="s">
        <v>191</v>
      </c>
      <c r="G52" s="2" t="s">
        <v>197</v>
      </c>
      <c r="H52" s="2">
        <v>1</v>
      </c>
      <c r="I52" s="5">
        <v>58000</v>
      </c>
      <c r="J52" s="10">
        <v>0.1</v>
      </c>
      <c r="K52" s="7">
        <v>8719.5400000000009</v>
      </c>
      <c r="L52" t="b">
        <f t="shared" si="0"/>
        <v>0</v>
      </c>
    </row>
    <row r="53" spans="1:12">
      <c r="A53" s="2">
        <v>100051</v>
      </c>
      <c r="B53" s="14">
        <v>45841</v>
      </c>
      <c r="C53" s="2" t="s">
        <v>55</v>
      </c>
      <c r="D53" s="2" t="s">
        <v>172</v>
      </c>
      <c r="E53" s="2" t="s">
        <v>187</v>
      </c>
      <c r="F53" s="2" t="s">
        <v>192</v>
      </c>
      <c r="G53" s="2" t="s">
        <v>205</v>
      </c>
      <c r="H53" s="2">
        <v>2</v>
      </c>
      <c r="I53" s="5">
        <v>9000</v>
      </c>
      <c r="J53" s="10">
        <v>0.15</v>
      </c>
      <c r="K53" s="7">
        <v>1057.25</v>
      </c>
      <c r="L53" t="b">
        <f t="shared" si="0"/>
        <v>0</v>
      </c>
    </row>
    <row r="54" spans="1:12">
      <c r="A54" s="2">
        <v>100052</v>
      </c>
      <c r="B54" s="14">
        <v>45827</v>
      </c>
      <c r="C54" s="2" t="s">
        <v>50</v>
      </c>
      <c r="D54" s="2" t="s">
        <v>164</v>
      </c>
      <c r="E54" s="2" t="s">
        <v>182</v>
      </c>
      <c r="F54" s="2" t="s">
        <v>192</v>
      </c>
      <c r="G54" s="2" t="s">
        <v>205</v>
      </c>
      <c r="H54" s="2">
        <v>1</v>
      </c>
      <c r="I54" s="5">
        <v>4500</v>
      </c>
      <c r="J54" s="10">
        <v>0.05</v>
      </c>
      <c r="K54" s="7">
        <v>697.15</v>
      </c>
      <c r="L54" t="b">
        <f t="shared" si="0"/>
        <v>0</v>
      </c>
    </row>
    <row r="55" spans="1:12">
      <c r="A55" s="2">
        <v>100053</v>
      </c>
      <c r="B55" s="14">
        <v>45702</v>
      </c>
      <c r="C55" s="2" t="s">
        <v>56</v>
      </c>
      <c r="D55" s="2" t="s">
        <v>171</v>
      </c>
      <c r="E55" s="2" t="s">
        <v>181</v>
      </c>
      <c r="F55" s="2" t="s">
        <v>189</v>
      </c>
      <c r="G55" s="2" t="s">
        <v>196</v>
      </c>
      <c r="H55" s="2">
        <v>4</v>
      </c>
      <c r="I55" s="5">
        <v>220000</v>
      </c>
      <c r="J55" s="10">
        <v>0.1</v>
      </c>
      <c r="K55" s="7">
        <v>39481.480000000003</v>
      </c>
      <c r="L55" t="b">
        <f t="shared" si="0"/>
        <v>0</v>
      </c>
    </row>
    <row r="56" spans="1:12">
      <c r="A56" s="2">
        <v>100054</v>
      </c>
      <c r="B56" s="14">
        <v>45719</v>
      </c>
      <c r="C56" s="2" t="s">
        <v>43</v>
      </c>
      <c r="D56" s="2" t="s">
        <v>165</v>
      </c>
      <c r="E56" s="2" t="s">
        <v>183</v>
      </c>
      <c r="F56" s="2" t="s">
        <v>189</v>
      </c>
      <c r="G56" s="2" t="s">
        <v>198</v>
      </c>
      <c r="H56" s="2">
        <v>4</v>
      </c>
      <c r="I56" s="5">
        <v>180000</v>
      </c>
      <c r="J56" s="10">
        <v>0.05</v>
      </c>
      <c r="K56" s="7">
        <v>32003.41</v>
      </c>
      <c r="L56" t="b">
        <f t="shared" si="0"/>
        <v>0</v>
      </c>
    </row>
    <row r="57" spans="1:12">
      <c r="A57" s="2">
        <v>100055</v>
      </c>
      <c r="B57" s="14">
        <v>45791</v>
      </c>
      <c r="C57" s="2" t="s">
        <v>52</v>
      </c>
      <c r="D57" s="2" t="s">
        <v>170</v>
      </c>
      <c r="E57" s="2" t="s">
        <v>187</v>
      </c>
      <c r="F57" s="2" t="s">
        <v>191</v>
      </c>
      <c r="G57" s="2" t="s">
        <v>200</v>
      </c>
      <c r="H57" s="2">
        <v>2</v>
      </c>
      <c r="I57" s="5">
        <v>56000</v>
      </c>
      <c r="J57" s="10">
        <v>0.05</v>
      </c>
      <c r="K57" s="7">
        <v>7899.08</v>
      </c>
      <c r="L57" t="b">
        <f t="shared" si="0"/>
        <v>0</v>
      </c>
    </row>
    <row r="58" spans="1:12">
      <c r="A58" s="2">
        <v>100056</v>
      </c>
      <c r="B58" s="14">
        <v>45971</v>
      </c>
      <c r="C58" s="2" t="s">
        <v>57</v>
      </c>
      <c r="D58" s="2" t="s">
        <v>173</v>
      </c>
      <c r="E58" s="2" t="s">
        <v>182</v>
      </c>
      <c r="F58" s="2" t="s">
        <v>190</v>
      </c>
      <c r="G58" s="2" t="s">
        <v>204</v>
      </c>
      <c r="H58" s="2">
        <v>4</v>
      </c>
      <c r="I58" s="5">
        <v>2000</v>
      </c>
      <c r="J58" s="10">
        <v>0.05</v>
      </c>
      <c r="K58" s="7">
        <v>311.7</v>
      </c>
      <c r="L58" t="b">
        <f t="shared" si="0"/>
        <v>0</v>
      </c>
    </row>
    <row r="59" spans="1:12">
      <c r="A59" s="2">
        <v>100057</v>
      </c>
      <c r="B59" s="14">
        <v>45685</v>
      </c>
      <c r="C59" s="2" t="s">
        <v>58</v>
      </c>
      <c r="D59" s="2" t="s">
        <v>178</v>
      </c>
      <c r="E59" s="2" t="s">
        <v>185</v>
      </c>
      <c r="F59" s="2" t="s">
        <v>189</v>
      </c>
      <c r="G59" s="2" t="s">
        <v>193</v>
      </c>
      <c r="H59" s="2">
        <v>1</v>
      </c>
      <c r="I59" s="5">
        <v>85000</v>
      </c>
      <c r="J59" s="10">
        <v>0.2</v>
      </c>
      <c r="K59" s="7">
        <v>12691.98</v>
      </c>
      <c r="L59" t="b">
        <f t="shared" si="0"/>
        <v>0</v>
      </c>
    </row>
    <row r="60" spans="1:12">
      <c r="A60" s="2">
        <v>100058</v>
      </c>
      <c r="B60" s="14">
        <v>45765</v>
      </c>
      <c r="C60" s="2" t="s">
        <v>53</v>
      </c>
      <c r="D60" s="2" t="s">
        <v>171</v>
      </c>
      <c r="E60" s="2" t="s">
        <v>184</v>
      </c>
      <c r="F60" s="2" t="s">
        <v>190</v>
      </c>
      <c r="G60" s="2" t="s">
        <v>199</v>
      </c>
      <c r="H60" s="2">
        <v>2</v>
      </c>
      <c r="I60" s="5">
        <v>3600</v>
      </c>
      <c r="J60" s="10">
        <v>0.05</v>
      </c>
      <c r="K60" s="7">
        <v>586.91</v>
      </c>
      <c r="L60" t="b">
        <f t="shared" si="0"/>
        <v>0</v>
      </c>
    </row>
    <row r="61" spans="1:12">
      <c r="A61" s="2">
        <v>100059</v>
      </c>
      <c r="B61" s="14">
        <v>45701</v>
      </c>
      <c r="C61" s="2" t="s">
        <v>59</v>
      </c>
      <c r="D61" s="2" t="s">
        <v>165</v>
      </c>
      <c r="E61" s="2" t="s">
        <v>181</v>
      </c>
      <c r="F61" s="2" t="s">
        <v>189</v>
      </c>
      <c r="G61" s="2" t="s">
        <v>206</v>
      </c>
      <c r="H61" s="2">
        <v>1</v>
      </c>
      <c r="I61" s="5">
        <v>50000</v>
      </c>
      <c r="J61" s="10">
        <v>0.05</v>
      </c>
      <c r="K61" s="7">
        <v>6402.95</v>
      </c>
      <c r="L61" t="b">
        <f t="shared" si="0"/>
        <v>0</v>
      </c>
    </row>
    <row r="62" spans="1:12">
      <c r="A62" s="2">
        <v>100060</v>
      </c>
      <c r="B62" s="14">
        <v>45820</v>
      </c>
      <c r="C62" s="2" t="s">
        <v>25</v>
      </c>
      <c r="D62" s="2" t="s">
        <v>166</v>
      </c>
      <c r="E62" s="2" t="s">
        <v>183</v>
      </c>
      <c r="F62" s="2" t="s">
        <v>190</v>
      </c>
      <c r="G62" s="2" t="s">
        <v>195</v>
      </c>
      <c r="H62" s="2">
        <v>3</v>
      </c>
      <c r="I62" s="5">
        <v>2400</v>
      </c>
      <c r="J62" s="10">
        <v>0.15</v>
      </c>
      <c r="K62" s="7">
        <v>476.64</v>
      </c>
      <c r="L62" t="b">
        <f t="shared" si="0"/>
        <v>0</v>
      </c>
    </row>
    <row r="63" spans="1:12">
      <c r="A63" s="2">
        <v>100061</v>
      </c>
      <c r="B63" s="14">
        <v>45943</v>
      </c>
      <c r="C63" s="2" t="s">
        <v>60</v>
      </c>
      <c r="D63" s="2" t="s">
        <v>174</v>
      </c>
      <c r="E63" s="2" t="s">
        <v>181</v>
      </c>
      <c r="F63" s="2" t="s">
        <v>189</v>
      </c>
      <c r="G63" s="2" t="s">
        <v>196</v>
      </c>
      <c r="H63" s="2">
        <v>2</v>
      </c>
      <c r="I63" s="5">
        <v>110000</v>
      </c>
      <c r="J63" s="10">
        <v>0.15</v>
      </c>
      <c r="K63" s="7">
        <v>16697.009999999998</v>
      </c>
      <c r="L63" t="b">
        <f t="shared" si="0"/>
        <v>0</v>
      </c>
    </row>
    <row r="64" spans="1:12">
      <c r="A64" s="2">
        <v>100062</v>
      </c>
      <c r="B64" s="14">
        <v>45988</v>
      </c>
      <c r="C64" s="2" t="s">
        <v>21</v>
      </c>
      <c r="D64" s="2" t="s">
        <v>172</v>
      </c>
      <c r="E64" s="2" t="s">
        <v>185</v>
      </c>
      <c r="F64" s="2" t="s">
        <v>190</v>
      </c>
      <c r="G64" s="2" t="s">
        <v>199</v>
      </c>
      <c r="H64" s="2">
        <v>1</v>
      </c>
      <c r="I64" s="5">
        <v>1800</v>
      </c>
      <c r="J64" s="10">
        <v>0.05</v>
      </c>
      <c r="K64" s="7">
        <v>291.87</v>
      </c>
      <c r="L64" t="b">
        <f t="shared" si="0"/>
        <v>0</v>
      </c>
    </row>
    <row r="65" spans="1:12">
      <c r="A65" s="2">
        <v>100063</v>
      </c>
      <c r="B65" s="14">
        <v>45874</v>
      </c>
      <c r="C65" s="2" t="s">
        <v>61</v>
      </c>
      <c r="D65" s="2" t="s">
        <v>178</v>
      </c>
      <c r="E65" s="2" t="s">
        <v>183</v>
      </c>
      <c r="F65" s="2" t="s">
        <v>190</v>
      </c>
      <c r="G65" s="2" t="s">
        <v>204</v>
      </c>
      <c r="H65" s="2">
        <v>4</v>
      </c>
      <c r="I65" s="5">
        <v>2000</v>
      </c>
      <c r="J65" s="10">
        <v>0.2</v>
      </c>
      <c r="K65" s="7">
        <v>331.56</v>
      </c>
      <c r="L65" t="b">
        <f t="shared" si="0"/>
        <v>0</v>
      </c>
    </row>
    <row r="66" spans="1:12">
      <c r="A66" s="2">
        <v>100064</v>
      </c>
      <c r="B66" s="14">
        <v>46005</v>
      </c>
      <c r="C66" s="2" t="s">
        <v>62</v>
      </c>
      <c r="D66" s="2" t="s">
        <v>177</v>
      </c>
      <c r="E66" s="2" t="s">
        <v>181</v>
      </c>
      <c r="F66" s="2" t="s">
        <v>189</v>
      </c>
      <c r="G66" s="2" t="s">
        <v>198</v>
      </c>
      <c r="H66" s="2">
        <v>1</v>
      </c>
      <c r="I66" s="5">
        <v>45000</v>
      </c>
      <c r="J66" s="10">
        <v>0.2</v>
      </c>
      <c r="K66" s="7">
        <v>5708.69</v>
      </c>
      <c r="L66" t="b">
        <f t="shared" si="0"/>
        <v>0</v>
      </c>
    </row>
    <row r="67" spans="1:12">
      <c r="A67" s="2">
        <v>100065</v>
      </c>
      <c r="B67" s="14">
        <v>45888</v>
      </c>
      <c r="C67" s="2" t="s">
        <v>63</v>
      </c>
      <c r="D67" s="2" t="s">
        <v>167</v>
      </c>
      <c r="E67" s="2" t="s">
        <v>188</v>
      </c>
      <c r="F67" s="2" t="s">
        <v>191</v>
      </c>
      <c r="G67" s="2" t="s">
        <v>202</v>
      </c>
      <c r="H67" s="2">
        <v>4</v>
      </c>
      <c r="I67" s="5">
        <v>152000</v>
      </c>
      <c r="J67" s="10">
        <v>0.1</v>
      </c>
      <c r="K67" s="7">
        <v>29245.26</v>
      </c>
      <c r="L67" t="b">
        <f t="shared" ref="L67:L130" si="1">COUNTIF(A:A, A67) &gt; 1</f>
        <v>0</v>
      </c>
    </row>
    <row r="68" spans="1:12">
      <c r="A68" s="2">
        <v>100066</v>
      </c>
      <c r="B68" s="14">
        <v>45907</v>
      </c>
      <c r="C68" s="2" t="s">
        <v>64</v>
      </c>
      <c r="D68" s="2" t="s">
        <v>171</v>
      </c>
      <c r="E68" s="2" t="s">
        <v>185</v>
      </c>
      <c r="F68" s="2" t="s">
        <v>189</v>
      </c>
      <c r="G68" s="2" t="s">
        <v>196</v>
      </c>
      <c r="H68" s="2">
        <v>2</v>
      </c>
      <c r="I68" s="5">
        <v>110000</v>
      </c>
      <c r="J68" s="10">
        <v>0.15</v>
      </c>
      <c r="K68" s="7">
        <v>19942.09</v>
      </c>
      <c r="L68" t="b">
        <f t="shared" si="1"/>
        <v>0</v>
      </c>
    </row>
    <row r="69" spans="1:12">
      <c r="A69" s="2">
        <v>100067</v>
      </c>
      <c r="B69" s="14">
        <v>45882</v>
      </c>
      <c r="C69" s="2" t="s">
        <v>65</v>
      </c>
      <c r="D69" s="2" t="s">
        <v>178</v>
      </c>
      <c r="E69" s="2" t="s">
        <v>185</v>
      </c>
      <c r="F69" s="2" t="s">
        <v>190</v>
      </c>
      <c r="G69" s="2" t="s">
        <v>195</v>
      </c>
      <c r="H69" s="2">
        <v>1</v>
      </c>
      <c r="I69" s="5">
        <v>800</v>
      </c>
      <c r="J69" s="10">
        <v>0.15</v>
      </c>
      <c r="K69" s="7">
        <v>158.65</v>
      </c>
      <c r="L69" t="b">
        <f t="shared" si="1"/>
        <v>0</v>
      </c>
    </row>
    <row r="70" spans="1:12">
      <c r="A70" s="2">
        <v>100068</v>
      </c>
      <c r="B70" s="14">
        <v>45940</v>
      </c>
      <c r="C70" s="2" t="s">
        <v>66</v>
      </c>
      <c r="D70" s="2" t="s">
        <v>177</v>
      </c>
      <c r="E70" s="2" t="s">
        <v>185</v>
      </c>
      <c r="F70" s="2" t="s">
        <v>191</v>
      </c>
      <c r="G70" s="2" t="s">
        <v>197</v>
      </c>
      <c r="H70" s="2">
        <v>4</v>
      </c>
      <c r="I70" s="5">
        <v>232000</v>
      </c>
      <c r="J70" s="10">
        <v>0.1</v>
      </c>
      <c r="K70" s="7">
        <v>46780.83</v>
      </c>
      <c r="L70" t="b">
        <f t="shared" si="1"/>
        <v>0</v>
      </c>
    </row>
    <row r="71" spans="1:12">
      <c r="A71" s="2">
        <v>100069</v>
      </c>
      <c r="B71" s="14">
        <v>45662</v>
      </c>
      <c r="C71" s="2" t="s">
        <v>59</v>
      </c>
      <c r="D71" s="2" t="s">
        <v>165</v>
      </c>
      <c r="E71" s="2" t="s">
        <v>188</v>
      </c>
      <c r="F71" s="2" t="s">
        <v>192</v>
      </c>
      <c r="G71" s="2" t="s">
        <v>205</v>
      </c>
      <c r="H71" s="2">
        <v>1</v>
      </c>
      <c r="I71" s="5">
        <v>4500</v>
      </c>
      <c r="J71" s="10">
        <v>0.15</v>
      </c>
      <c r="K71" s="7">
        <v>755.52</v>
      </c>
      <c r="L71" t="b">
        <f t="shared" si="1"/>
        <v>0</v>
      </c>
    </row>
    <row r="72" spans="1:12">
      <c r="A72" s="2">
        <v>100070</v>
      </c>
      <c r="B72" s="14">
        <v>45773</v>
      </c>
      <c r="C72" s="2" t="s">
        <v>67</v>
      </c>
      <c r="D72" s="2" t="s">
        <v>171</v>
      </c>
      <c r="E72" s="2" t="s">
        <v>188</v>
      </c>
      <c r="F72" s="2" t="s">
        <v>192</v>
      </c>
      <c r="G72" s="2" t="s">
        <v>207</v>
      </c>
      <c r="H72" s="2">
        <v>1</v>
      </c>
      <c r="I72" s="5">
        <v>1800</v>
      </c>
      <c r="J72" s="10">
        <v>0.05</v>
      </c>
      <c r="K72" s="7">
        <v>295.06</v>
      </c>
      <c r="L72" t="b">
        <f t="shared" si="1"/>
        <v>0</v>
      </c>
    </row>
    <row r="73" spans="1:12">
      <c r="A73" s="2">
        <v>100071</v>
      </c>
      <c r="B73" s="14">
        <v>45890</v>
      </c>
      <c r="C73" s="2" t="s">
        <v>45</v>
      </c>
      <c r="D73" s="2" t="s">
        <v>165</v>
      </c>
      <c r="E73" s="2" t="s">
        <v>182</v>
      </c>
      <c r="F73" s="2" t="s">
        <v>190</v>
      </c>
      <c r="G73" s="2" t="s">
        <v>195</v>
      </c>
      <c r="H73" s="2">
        <v>1</v>
      </c>
      <c r="I73" s="5">
        <v>800</v>
      </c>
      <c r="J73" s="10">
        <v>0.15</v>
      </c>
      <c r="K73" s="7">
        <v>118.08</v>
      </c>
      <c r="L73" t="b">
        <f t="shared" si="1"/>
        <v>0</v>
      </c>
    </row>
    <row r="74" spans="1:12">
      <c r="A74" s="2">
        <v>100072</v>
      </c>
      <c r="B74" s="14">
        <v>45916</v>
      </c>
      <c r="C74" s="2" t="s">
        <v>53</v>
      </c>
      <c r="D74" s="2" t="s">
        <v>171</v>
      </c>
      <c r="E74" s="2" t="s">
        <v>187</v>
      </c>
      <c r="F74" s="2" t="s">
        <v>189</v>
      </c>
      <c r="G74" s="2" t="s">
        <v>206</v>
      </c>
      <c r="H74" s="2">
        <v>2</v>
      </c>
      <c r="I74" s="5">
        <v>100000</v>
      </c>
      <c r="J74" s="10">
        <v>0.1</v>
      </c>
      <c r="K74" s="7">
        <v>21190.06</v>
      </c>
      <c r="L74" t="b">
        <f t="shared" si="1"/>
        <v>0</v>
      </c>
    </row>
    <row r="75" spans="1:12">
      <c r="A75" s="2">
        <v>100073</v>
      </c>
      <c r="B75" s="14">
        <v>46016</v>
      </c>
      <c r="C75" s="2" t="s">
        <v>68</v>
      </c>
      <c r="D75" s="2" t="s">
        <v>175</v>
      </c>
      <c r="E75" s="2" t="s">
        <v>184</v>
      </c>
      <c r="F75" s="2" t="s">
        <v>189</v>
      </c>
      <c r="G75" s="2" t="s">
        <v>194</v>
      </c>
      <c r="H75" s="2">
        <v>2</v>
      </c>
      <c r="I75" s="5">
        <v>124000</v>
      </c>
      <c r="J75" s="10">
        <v>0.1</v>
      </c>
      <c r="K75" s="7">
        <v>15406.75</v>
      </c>
      <c r="L75" t="b">
        <f t="shared" si="1"/>
        <v>0</v>
      </c>
    </row>
    <row r="76" spans="1:12">
      <c r="A76" s="2">
        <v>100074</v>
      </c>
      <c r="B76" s="14">
        <v>45855</v>
      </c>
      <c r="C76" s="2" t="s">
        <v>69</v>
      </c>
      <c r="D76" s="2" t="s">
        <v>177</v>
      </c>
      <c r="E76" s="2" t="s">
        <v>181</v>
      </c>
      <c r="F76" s="2" t="s">
        <v>189</v>
      </c>
      <c r="G76" s="2" t="s">
        <v>206</v>
      </c>
      <c r="H76" s="2">
        <v>3</v>
      </c>
      <c r="I76" s="5">
        <v>150000</v>
      </c>
      <c r="J76" s="10">
        <v>0.2</v>
      </c>
      <c r="K76" s="7">
        <v>17080.84</v>
      </c>
      <c r="L76" t="b">
        <f t="shared" si="1"/>
        <v>0</v>
      </c>
    </row>
    <row r="77" spans="1:12">
      <c r="A77" s="2">
        <v>100075</v>
      </c>
      <c r="B77" s="14">
        <v>45794</v>
      </c>
      <c r="C77" s="2" t="s">
        <v>70</v>
      </c>
      <c r="D77" s="2" t="s">
        <v>166</v>
      </c>
      <c r="E77" s="2" t="s">
        <v>182</v>
      </c>
      <c r="F77" s="2" t="s">
        <v>191</v>
      </c>
      <c r="G77" s="2" t="s">
        <v>202</v>
      </c>
      <c r="H77" s="2">
        <v>1</v>
      </c>
      <c r="I77" s="5">
        <v>38000</v>
      </c>
      <c r="J77" s="10">
        <v>0.1</v>
      </c>
      <c r="K77" s="7">
        <v>6460.34</v>
      </c>
      <c r="L77" t="b">
        <f t="shared" si="1"/>
        <v>0</v>
      </c>
    </row>
    <row r="78" spans="1:12">
      <c r="A78" s="2">
        <v>100076</v>
      </c>
      <c r="B78" s="14">
        <v>45975</v>
      </c>
      <c r="C78" s="2" t="s">
        <v>71</v>
      </c>
      <c r="D78" s="2" t="s">
        <v>174</v>
      </c>
      <c r="E78" s="2" t="s">
        <v>181</v>
      </c>
      <c r="F78" s="2" t="s">
        <v>190</v>
      </c>
      <c r="G78" s="2" t="s">
        <v>204</v>
      </c>
      <c r="H78" s="2">
        <v>2</v>
      </c>
      <c r="I78" s="5">
        <v>1000</v>
      </c>
      <c r="J78" s="10">
        <v>0.2</v>
      </c>
      <c r="K78" s="7">
        <v>181.28</v>
      </c>
      <c r="L78" t="b">
        <f t="shared" si="1"/>
        <v>0</v>
      </c>
    </row>
    <row r="79" spans="1:12">
      <c r="A79" s="2">
        <v>100077</v>
      </c>
      <c r="B79" s="14">
        <v>45822</v>
      </c>
      <c r="C79" s="2" t="s">
        <v>72</v>
      </c>
      <c r="D79" s="2" t="s">
        <v>172</v>
      </c>
      <c r="E79" s="2" t="s">
        <v>184</v>
      </c>
      <c r="F79" s="2" t="s">
        <v>189</v>
      </c>
      <c r="G79" s="2" t="s">
        <v>198</v>
      </c>
      <c r="H79" s="2">
        <v>3</v>
      </c>
      <c r="I79" s="5">
        <v>135000</v>
      </c>
      <c r="J79" s="10">
        <v>0.15</v>
      </c>
      <c r="K79" s="7">
        <v>21019.91</v>
      </c>
      <c r="L79" t="b">
        <f t="shared" si="1"/>
        <v>0</v>
      </c>
    </row>
    <row r="80" spans="1:12">
      <c r="A80" s="2">
        <v>100078</v>
      </c>
      <c r="B80" s="14">
        <v>45882</v>
      </c>
      <c r="C80" s="2" t="s">
        <v>73</v>
      </c>
      <c r="D80" s="2" t="s">
        <v>166</v>
      </c>
      <c r="E80" s="2" t="s">
        <v>187</v>
      </c>
      <c r="F80" s="2" t="s">
        <v>189</v>
      </c>
      <c r="G80" s="2" t="s">
        <v>194</v>
      </c>
      <c r="H80" s="2">
        <v>1</v>
      </c>
      <c r="I80" s="5">
        <v>62000</v>
      </c>
      <c r="J80" s="10">
        <v>0.05</v>
      </c>
      <c r="K80" s="7">
        <v>13255.03</v>
      </c>
      <c r="L80" t="b">
        <f t="shared" si="1"/>
        <v>0</v>
      </c>
    </row>
    <row r="81" spans="1:12">
      <c r="A81" s="2">
        <v>100079</v>
      </c>
      <c r="B81" s="14">
        <v>45727</v>
      </c>
      <c r="C81" s="2" t="s">
        <v>17</v>
      </c>
      <c r="D81" s="2" t="s">
        <v>169</v>
      </c>
      <c r="E81" s="2" t="s">
        <v>188</v>
      </c>
      <c r="F81" s="2" t="s">
        <v>190</v>
      </c>
      <c r="G81" s="2" t="s">
        <v>195</v>
      </c>
      <c r="H81" s="2">
        <v>1</v>
      </c>
      <c r="I81" s="5">
        <v>800</v>
      </c>
      <c r="J81" s="10">
        <v>0.15</v>
      </c>
      <c r="K81" s="7">
        <v>153.80000000000001</v>
      </c>
      <c r="L81" t="b">
        <f t="shared" si="1"/>
        <v>0</v>
      </c>
    </row>
    <row r="82" spans="1:12">
      <c r="A82" s="2">
        <v>100080</v>
      </c>
      <c r="B82" s="14">
        <v>45891</v>
      </c>
      <c r="C82" s="2" t="s">
        <v>74</v>
      </c>
      <c r="D82" s="2" t="s">
        <v>174</v>
      </c>
      <c r="E82" s="2" t="s">
        <v>187</v>
      </c>
      <c r="F82" s="2" t="s">
        <v>191</v>
      </c>
      <c r="G82" s="2" t="s">
        <v>209</v>
      </c>
      <c r="H82" s="2">
        <v>1</v>
      </c>
      <c r="I82" s="5">
        <v>26000</v>
      </c>
      <c r="J82" s="10">
        <v>0.1</v>
      </c>
      <c r="K82" s="7">
        <v>5399.3</v>
      </c>
      <c r="L82" t="b">
        <f t="shared" si="1"/>
        <v>0</v>
      </c>
    </row>
    <row r="83" spans="1:12">
      <c r="A83" s="2">
        <v>100081</v>
      </c>
      <c r="B83" s="14">
        <v>45829</v>
      </c>
      <c r="C83" s="2" t="s">
        <v>75</v>
      </c>
      <c r="D83" s="2" t="s">
        <v>173</v>
      </c>
      <c r="E83" s="2" t="s">
        <v>188</v>
      </c>
      <c r="F83" s="2" t="s">
        <v>192</v>
      </c>
      <c r="G83" s="2" t="s">
        <v>208</v>
      </c>
      <c r="H83" s="2">
        <v>1</v>
      </c>
      <c r="I83" s="5">
        <v>3200</v>
      </c>
      <c r="J83" s="10">
        <v>0.15</v>
      </c>
      <c r="K83" s="7">
        <v>518.24</v>
      </c>
      <c r="L83" t="b">
        <f t="shared" si="1"/>
        <v>0</v>
      </c>
    </row>
    <row r="84" spans="1:12">
      <c r="A84" s="2">
        <v>100082</v>
      </c>
      <c r="B84" s="14">
        <v>45663</v>
      </c>
      <c r="C84" s="2" t="s">
        <v>53</v>
      </c>
      <c r="D84" s="2" t="s">
        <v>171</v>
      </c>
      <c r="E84" s="2" t="s">
        <v>184</v>
      </c>
      <c r="F84" s="2" t="s">
        <v>191</v>
      </c>
      <c r="G84" s="2" t="s">
        <v>197</v>
      </c>
      <c r="H84" s="2">
        <v>2</v>
      </c>
      <c r="I84" s="5">
        <v>116000</v>
      </c>
      <c r="J84" s="10">
        <v>0.2</v>
      </c>
      <c r="K84" s="7">
        <v>13865.83</v>
      </c>
      <c r="L84" t="b">
        <f t="shared" si="1"/>
        <v>0</v>
      </c>
    </row>
    <row r="85" spans="1:12">
      <c r="A85" s="2">
        <v>100083</v>
      </c>
      <c r="B85" s="14">
        <v>45972</v>
      </c>
      <c r="C85" s="2" t="s">
        <v>20</v>
      </c>
      <c r="D85" s="2" t="s">
        <v>171</v>
      </c>
      <c r="E85" s="2" t="s">
        <v>187</v>
      </c>
      <c r="F85" s="2" t="s">
        <v>192</v>
      </c>
      <c r="G85" s="2" t="s">
        <v>208</v>
      </c>
      <c r="H85" s="2">
        <v>3</v>
      </c>
      <c r="I85" s="5">
        <v>9600</v>
      </c>
      <c r="J85" s="10">
        <v>0.2</v>
      </c>
      <c r="K85" s="7">
        <v>1499.94</v>
      </c>
      <c r="L85" t="b">
        <f t="shared" si="1"/>
        <v>0</v>
      </c>
    </row>
    <row r="86" spans="1:12">
      <c r="A86" s="2">
        <v>100084</v>
      </c>
      <c r="B86" s="14">
        <v>45906</v>
      </c>
      <c r="C86" s="2" t="s">
        <v>70</v>
      </c>
      <c r="D86" s="2" t="s">
        <v>166</v>
      </c>
      <c r="E86" s="2" t="s">
        <v>182</v>
      </c>
      <c r="F86" s="2" t="s">
        <v>189</v>
      </c>
      <c r="G86" s="2" t="s">
        <v>196</v>
      </c>
      <c r="H86" s="2">
        <v>4</v>
      </c>
      <c r="I86" s="5">
        <v>220000</v>
      </c>
      <c r="J86" s="10">
        <v>0.2</v>
      </c>
      <c r="K86" s="7">
        <v>29612.43</v>
      </c>
      <c r="L86" t="b">
        <f t="shared" si="1"/>
        <v>0</v>
      </c>
    </row>
    <row r="87" spans="1:12">
      <c r="A87" s="2">
        <v>100085</v>
      </c>
      <c r="B87" s="14">
        <v>45812</v>
      </c>
      <c r="C87" s="2" t="s">
        <v>76</v>
      </c>
      <c r="D87" s="2" t="s">
        <v>164</v>
      </c>
      <c r="E87" s="2" t="s">
        <v>183</v>
      </c>
      <c r="F87" s="2" t="s">
        <v>189</v>
      </c>
      <c r="G87" s="2" t="s">
        <v>198</v>
      </c>
      <c r="H87" s="2">
        <v>4</v>
      </c>
      <c r="I87" s="5">
        <v>180000</v>
      </c>
      <c r="J87" s="10">
        <v>0.05</v>
      </c>
      <c r="K87" s="7">
        <v>32208.81</v>
      </c>
      <c r="L87" t="b">
        <f t="shared" si="1"/>
        <v>0</v>
      </c>
    </row>
    <row r="88" spans="1:12">
      <c r="A88" s="2">
        <v>100086</v>
      </c>
      <c r="B88" s="14">
        <v>45890</v>
      </c>
      <c r="C88" s="2" t="s">
        <v>48</v>
      </c>
      <c r="D88" s="2" t="s">
        <v>176</v>
      </c>
      <c r="E88" s="2" t="s">
        <v>182</v>
      </c>
      <c r="F88" s="2" t="s">
        <v>191</v>
      </c>
      <c r="G88" s="2" t="s">
        <v>209</v>
      </c>
      <c r="H88" s="2">
        <v>4</v>
      </c>
      <c r="I88" s="5">
        <v>104000</v>
      </c>
      <c r="J88" s="10">
        <v>0.05</v>
      </c>
      <c r="K88" s="7">
        <v>20149.89</v>
      </c>
      <c r="L88" t="b">
        <f t="shared" si="1"/>
        <v>0</v>
      </c>
    </row>
    <row r="89" spans="1:12">
      <c r="A89" s="2">
        <v>100087</v>
      </c>
      <c r="B89" s="14">
        <v>45837</v>
      </c>
      <c r="C89" s="2" t="s">
        <v>29</v>
      </c>
      <c r="D89" s="2" t="s">
        <v>169</v>
      </c>
      <c r="E89" s="2" t="s">
        <v>181</v>
      </c>
      <c r="F89" s="2" t="s">
        <v>189</v>
      </c>
      <c r="G89" s="2" t="s">
        <v>206</v>
      </c>
      <c r="H89" s="2">
        <v>1</v>
      </c>
      <c r="I89" s="5">
        <v>50000</v>
      </c>
      <c r="J89" s="10">
        <v>0.15</v>
      </c>
      <c r="K89" s="7">
        <v>5953.39</v>
      </c>
      <c r="L89" t="b">
        <f t="shared" si="1"/>
        <v>0</v>
      </c>
    </row>
    <row r="90" spans="1:12">
      <c r="A90" s="2">
        <v>100088</v>
      </c>
      <c r="B90" s="14">
        <v>45770</v>
      </c>
      <c r="C90" s="2" t="s">
        <v>77</v>
      </c>
      <c r="D90" s="2" t="s">
        <v>165</v>
      </c>
      <c r="E90" s="2" t="s">
        <v>182</v>
      </c>
      <c r="F90" s="2" t="s">
        <v>189</v>
      </c>
      <c r="G90" s="2" t="s">
        <v>194</v>
      </c>
      <c r="H90" s="2">
        <v>4</v>
      </c>
      <c r="I90" s="5">
        <v>248000</v>
      </c>
      <c r="J90" s="10">
        <v>0.1</v>
      </c>
      <c r="K90" s="7">
        <v>8250</v>
      </c>
      <c r="L90" t="b">
        <f t="shared" si="1"/>
        <v>0</v>
      </c>
    </row>
    <row r="91" spans="1:12">
      <c r="A91" s="2">
        <v>100089</v>
      </c>
      <c r="B91" s="14">
        <v>45975</v>
      </c>
      <c r="C91" s="2" t="s">
        <v>78</v>
      </c>
      <c r="D91" s="2" t="s">
        <v>173</v>
      </c>
      <c r="E91" s="2" t="s">
        <v>184</v>
      </c>
      <c r="F91" s="2" t="s">
        <v>190</v>
      </c>
      <c r="G91" s="2" t="s">
        <v>195</v>
      </c>
      <c r="H91" s="2">
        <v>3</v>
      </c>
      <c r="I91" s="5">
        <v>2400</v>
      </c>
      <c r="J91" s="10">
        <v>0.15</v>
      </c>
      <c r="K91" s="7">
        <v>353.43</v>
      </c>
      <c r="L91" t="b">
        <f t="shared" si="1"/>
        <v>0</v>
      </c>
    </row>
    <row r="92" spans="1:12">
      <c r="A92" s="2">
        <v>100090</v>
      </c>
      <c r="B92" s="14">
        <v>45709</v>
      </c>
      <c r="C92" s="2" t="s">
        <v>79</v>
      </c>
      <c r="D92" s="2" t="s">
        <v>165</v>
      </c>
      <c r="E92" s="2" t="s">
        <v>185</v>
      </c>
      <c r="F92" s="2" t="s">
        <v>189</v>
      </c>
      <c r="G92" s="2" t="s">
        <v>206</v>
      </c>
      <c r="H92" s="2">
        <v>2</v>
      </c>
      <c r="I92" s="5">
        <v>100000</v>
      </c>
      <c r="J92" s="10">
        <v>0.2</v>
      </c>
      <c r="K92" s="7">
        <v>15900.1</v>
      </c>
      <c r="L92" t="b">
        <f t="shared" si="1"/>
        <v>0</v>
      </c>
    </row>
    <row r="93" spans="1:12">
      <c r="A93" s="2">
        <v>100091</v>
      </c>
      <c r="B93" s="14">
        <v>45925</v>
      </c>
      <c r="C93" s="2" t="s">
        <v>45</v>
      </c>
      <c r="D93" s="2" t="s">
        <v>165</v>
      </c>
      <c r="E93" s="2" t="s">
        <v>181</v>
      </c>
      <c r="F93" s="2" t="s">
        <v>191</v>
      </c>
      <c r="G93" s="2" t="s">
        <v>209</v>
      </c>
      <c r="H93" s="2">
        <v>4</v>
      </c>
      <c r="I93" s="5">
        <v>104000</v>
      </c>
      <c r="J93" s="10">
        <v>0.2</v>
      </c>
      <c r="K93" s="7">
        <v>20670.599999999999</v>
      </c>
      <c r="L93" t="b">
        <f t="shared" si="1"/>
        <v>0</v>
      </c>
    </row>
    <row r="94" spans="1:12">
      <c r="A94" s="2">
        <v>100092</v>
      </c>
      <c r="B94" s="14">
        <v>45952</v>
      </c>
      <c r="C94" s="2" t="s">
        <v>70</v>
      </c>
      <c r="D94" s="2" t="s">
        <v>166</v>
      </c>
      <c r="E94" s="2" t="s">
        <v>187</v>
      </c>
      <c r="F94" s="2" t="s">
        <v>189</v>
      </c>
      <c r="G94" s="2" t="s">
        <v>198</v>
      </c>
      <c r="H94" s="2">
        <v>1</v>
      </c>
      <c r="I94" s="5">
        <v>45000</v>
      </c>
      <c r="J94" s="10">
        <v>0.05</v>
      </c>
      <c r="K94" s="7">
        <v>10532.03</v>
      </c>
      <c r="L94" t="b">
        <f t="shared" si="1"/>
        <v>0</v>
      </c>
    </row>
    <row r="95" spans="1:12">
      <c r="A95" s="2">
        <v>100093</v>
      </c>
      <c r="B95" s="14">
        <v>45770</v>
      </c>
      <c r="C95" s="2" t="s">
        <v>80</v>
      </c>
      <c r="D95" s="2" t="s">
        <v>164</v>
      </c>
      <c r="E95" s="2" t="s">
        <v>181</v>
      </c>
      <c r="F95" s="2" t="s">
        <v>191</v>
      </c>
      <c r="G95" s="2" t="s">
        <v>209</v>
      </c>
      <c r="H95" s="2">
        <v>4</v>
      </c>
      <c r="I95" s="5">
        <v>104000</v>
      </c>
      <c r="J95" s="10">
        <v>0.15</v>
      </c>
      <c r="K95" s="7">
        <v>16720.740000000002</v>
      </c>
      <c r="L95" t="b">
        <f t="shared" si="1"/>
        <v>0</v>
      </c>
    </row>
    <row r="96" spans="1:12">
      <c r="A96" s="2">
        <v>100094</v>
      </c>
      <c r="B96" s="14">
        <v>45965</v>
      </c>
      <c r="C96" s="2" t="s">
        <v>81</v>
      </c>
      <c r="D96" s="2" t="s">
        <v>177</v>
      </c>
      <c r="E96" s="2" t="s">
        <v>183</v>
      </c>
      <c r="F96" s="2" t="s">
        <v>189</v>
      </c>
      <c r="G96" s="2" t="s">
        <v>198</v>
      </c>
      <c r="H96" s="2">
        <v>2</v>
      </c>
      <c r="I96" s="5">
        <v>90000</v>
      </c>
      <c r="J96" s="10">
        <v>0.15</v>
      </c>
      <c r="K96" s="7">
        <v>11257.15</v>
      </c>
      <c r="L96" t="b">
        <f t="shared" si="1"/>
        <v>0</v>
      </c>
    </row>
    <row r="97" spans="1:12">
      <c r="A97" s="2">
        <v>100095</v>
      </c>
      <c r="B97" s="14">
        <v>45935</v>
      </c>
      <c r="C97" s="2" t="s">
        <v>82</v>
      </c>
      <c r="D97" s="2" t="s">
        <v>171</v>
      </c>
      <c r="E97" s="2" t="s">
        <v>185</v>
      </c>
      <c r="F97" s="2" t="s">
        <v>189</v>
      </c>
      <c r="G97" s="2" t="s">
        <v>206</v>
      </c>
      <c r="H97" s="2">
        <v>1</v>
      </c>
      <c r="I97" s="5">
        <v>50000</v>
      </c>
      <c r="J97" s="10">
        <v>0.04</v>
      </c>
      <c r="K97" s="7">
        <v>4466.41</v>
      </c>
      <c r="L97" t="b">
        <f t="shared" si="1"/>
        <v>0</v>
      </c>
    </row>
    <row r="98" spans="1:12">
      <c r="A98" s="2">
        <v>100096</v>
      </c>
      <c r="B98" s="14">
        <v>45738</v>
      </c>
      <c r="C98" s="2" t="s">
        <v>83</v>
      </c>
      <c r="D98" s="2" t="s">
        <v>177</v>
      </c>
      <c r="E98" s="2" t="s">
        <v>187</v>
      </c>
      <c r="F98" s="2" t="s">
        <v>191</v>
      </c>
      <c r="G98" s="2" t="s">
        <v>202</v>
      </c>
      <c r="H98" s="2">
        <v>1</v>
      </c>
      <c r="I98" s="5">
        <v>38000</v>
      </c>
      <c r="J98" s="10">
        <v>0.15</v>
      </c>
      <c r="K98" s="7">
        <v>5924.49</v>
      </c>
      <c r="L98" t="b">
        <f t="shared" si="1"/>
        <v>0</v>
      </c>
    </row>
    <row r="99" spans="1:12">
      <c r="A99" s="2">
        <v>100097</v>
      </c>
      <c r="B99" s="14">
        <v>45815</v>
      </c>
      <c r="C99" s="2" t="s">
        <v>48</v>
      </c>
      <c r="D99" s="2" t="s">
        <v>176</v>
      </c>
      <c r="E99" s="2" t="s">
        <v>186</v>
      </c>
      <c r="F99" s="2" t="s">
        <v>191</v>
      </c>
      <c r="G99" s="2" t="s">
        <v>200</v>
      </c>
      <c r="H99" s="2">
        <v>2</v>
      </c>
      <c r="I99" s="5">
        <v>56000</v>
      </c>
      <c r="J99" s="10">
        <v>0.05</v>
      </c>
      <c r="K99" s="7">
        <v>8945.67</v>
      </c>
      <c r="L99" t="b">
        <f t="shared" si="1"/>
        <v>0</v>
      </c>
    </row>
    <row r="100" spans="1:12">
      <c r="A100" s="2">
        <v>100098</v>
      </c>
      <c r="B100" s="14">
        <v>45770</v>
      </c>
      <c r="C100" s="2" t="s">
        <v>84</v>
      </c>
      <c r="D100" s="2" t="s">
        <v>165</v>
      </c>
      <c r="E100" s="2" t="s">
        <v>181</v>
      </c>
      <c r="F100" s="2" t="s">
        <v>192</v>
      </c>
      <c r="G100" s="2" t="s">
        <v>203</v>
      </c>
      <c r="H100" s="2">
        <v>3</v>
      </c>
      <c r="I100" s="5">
        <v>6000</v>
      </c>
      <c r="J100" s="10">
        <v>0.15</v>
      </c>
      <c r="K100" s="7">
        <v>906.46</v>
      </c>
      <c r="L100" t="b">
        <f t="shared" si="1"/>
        <v>0</v>
      </c>
    </row>
    <row r="101" spans="1:12">
      <c r="A101" s="2">
        <v>100099</v>
      </c>
      <c r="B101" s="14">
        <v>45689</v>
      </c>
      <c r="C101" s="2" t="s">
        <v>11</v>
      </c>
      <c r="D101" s="2" t="s">
        <v>164</v>
      </c>
      <c r="E101" s="2" t="s">
        <v>187</v>
      </c>
      <c r="F101" s="2" t="s">
        <v>191</v>
      </c>
      <c r="G101" s="2" t="s">
        <v>209</v>
      </c>
      <c r="H101" s="2">
        <v>1</v>
      </c>
      <c r="I101" s="5">
        <v>26000</v>
      </c>
      <c r="J101" s="10">
        <v>0.05</v>
      </c>
      <c r="K101" s="7">
        <v>3247.22</v>
      </c>
      <c r="L101" t="b">
        <f t="shared" si="1"/>
        <v>0</v>
      </c>
    </row>
    <row r="102" spans="1:12">
      <c r="A102" s="2">
        <v>100100</v>
      </c>
      <c r="B102" s="14">
        <v>45935</v>
      </c>
      <c r="C102" s="2" t="s">
        <v>85</v>
      </c>
      <c r="D102" s="2" t="s">
        <v>166</v>
      </c>
      <c r="E102" s="2" t="s">
        <v>187</v>
      </c>
      <c r="F102" s="2" t="s">
        <v>190</v>
      </c>
      <c r="G102" s="2" t="s">
        <v>195</v>
      </c>
      <c r="H102" s="2">
        <v>2</v>
      </c>
      <c r="I102" s="5">
        <v>1600</v>
      </c>
      <c r="J102" s="10">
        <v>0.2</v>
      </c>
      <c r="K102" s="7">
        <v>158.75</v>
      </c>
      <c r="L102" t="b">
        <f t="shared" si="1"/>
        <v>0</v>
      </c>
    </row>
    <row r="103" spans="1:12">
      <c r="A103" s="2">
        <v>100101</v>
      </c>
      <c r="B103" s="14">
        <v>45877</v>
      </c>
      <c r="C103" s="2" t="s">
        <v>69</v>
      </c>
      <c r="D103" s="2" t="s">
        <v>177</v>
      </c>
      <c r="E103" s="2" t="s">
        <v>187</v>
      </c>
      <c r="F103" s="2" t="s">
        <v>192</v>
      </c>
      <c r="G103" s="2" t="s">
        <v>207</v>
      </c>
      <c r="H103" s="2">
        <v>2</v>
      </c>
      <c r="I103" s="5">
        <v>3600</v>
      </c>
      <c r="J103" s="10">
        <v>0.2</v>
      </c>
      <c r="K103" s="7">
        <v>712.55</v>
      </c>
      <c r="L103" t="b">
        <f t="shared" si="1"/>
        <v>0</v>
      </c>
    </row>
    <row r="104" spans="1:12">
      <c r="A104" s="2">
        <v>100102</v>
      </c>
      <c r="B104" s="14">
        <v>45711</v>
      </c>
      <c r="C104" s="2" t="s">
        <v>53</v>
      </c>
      <c r="D104" s="2" t="s">
        <v>171</v>
      </c>
      <c r="E104" s="2" t="s">
        <v>188</v>
      </c>
      <c r="F104" s="2" t="s">
        <v>189</v>
      </c>
      <c r="G104" s="2" t="s">
        <v>206</v>
      </c>
      <c r="H104" s="2">
        <v>1</v>
      </c>
      <c r="I104" s="5">
        <v>50000</v>
      </c>
      <c r="J104" s="10">
        <v>0.1</v>
      </c>
      <c r="K104" s="7">
        <v>6384.77</v>
      </c>
      <c r="L104" t="b">
        <f t="shared" si="1"/>
        <v>0</v>
      </c>
    </row>
    <row r="105" spans="1:12">
      <c r="A105" s="2">
        <v>100103</v>
      </c>
      <c r="B105" s="14">
        <v>45912</v>
      </c>
      <c r="C105" s="2" t="s">
        <v>86</v>
      </c>
      <c r="D105" s="2" t="s">
        <v>168</v>
      </c>
      <c r="E105" s="2" t="s">
        <v>186</v>
      </c>
      <c r="F105" s="2" t="s">
        <v>189</v>
      </c>
      <c r="G105" s="2" t="s">
        <v>196</v>
      </c>
      <c r="H105" s="2">
        <v>3</v>
      </c>
      <c r="I105" s="5">
        <v>165000</v>
      </c>
      <c r="J105" s="10">
        <v>0.15</v>
      </c>
      <c r="K105" s="7">
        <v>23324.15</v>
      </c>
      <c r="L105" t="b">
        <f t="shared" si="1"/>
        <v>0</v>
      </c>
    </row>
    <row r="106" spans="1:12">
      <c r="A106" s="2">
        <v>100104</v>
      </c>
      <c r="B106" s="14">
        <v>45999</v>
      </c>
      <c r="C106" s="2" t="s">
        <v>87</v>
      </c>
      <c r="D106" s="2" t="s">
        <v>174</v>
      </c>
      <c r="E106" s="2" t="s">
        <v>184</v>
      </c>
      <c r="F106" s="2" t="s">
        <v>191</v>
      </c>
      <c r="G106" s="2" t="s">
        <v>209</v>
      </c>
      <c r="H106" s="2">
        <v>1</v>
      </c>
      <c r="I106" s="5">
        <v>26000</v>
      </c>
      <c r="J106" s="10">
        <v>0.15</v>
      </c>
      <c r="K106" s="7">
        <v>3161.01</v>
      </c>
      <c r="L106" t="b">
        <f t="shared" si="1"/>
        <v>0</v>
      </c>
    </row>
    <row r="107" spans="1:12">
      <c r="A107" s="2">
        <v>100105</v>
      </c>
      <c r="B107" s="14">
        <v>45882</v>
      </c>
      <c r="C107" s="2" t="s">
        <v>88</v>
      </c>
      <c r="D107" s="2" t="s">
        <v>164</v>
      </c>
      <c r="E107" s="2" t="s">
        <v>182</v>
      </c>
      <c r="F107" s="2" t="s">
        <v>189</v>
      </c>
      <c r="G107" s="2" t="s">
        <v>198</v>
      </c>
      <c r="H107" s="2">
        <v>1</v>
      </c>
      <c r="I107" s="5">
        <v>45000</v>
      </c>
      <c r="J107" s="10">
        <v>0.2</v>
      </c>
      <c r="K107" s="7">
        <v>8207.6200000000008</v>
      </c>
      <c r="L107" t="b">
        <f t="shared" si="1"/>
        <v>0</v>
      </c>
    </row>
    <row r="108" spans="1:12">
      <c r="A108" s="2">
        <v>100106</v>
      </c>
      <c r="B108" s="14">
        <v>45813</v>
      </c>
      <c r="C108" s="2" t="s">
        <v>54</v>
      </c>
      <c r="D108" s="2" t="s">
        <v>170</v>
      </c>
      <c r="E108" s="2" t="s">
        <v>187</v>
      </c>
      <c r="F108" s="2" t="s">
        <v>192</v>
      </c>
      <c r="G108" s="2" t="s">
        <v>208</v>
      </c>
      <c r="H108" s="2">
        <v>1</v>
      </c>
      <c r="I108" s="5">
        <v>3200</v>
      </c>
      <c r="J108" s="10">
        <v>0.2</v>
      </c>
      <c r="K108" s="7">
        <v>501.22</v>
      </c>
      <c r="L108" t="b">
        <f t="shared" si="1"/>
        <v>0</v>
      </c>
    </row>
    <row r="109" spans="1:12">
      <c r="A109" s="2">
        <v>100107</v>
      </c>
      <c r="B109" s="14">
        <v>45935</v>
      </c>
      <c r="C109" s="2" t="s">
        <v>89</v>
      </c>
      <c r="D109" s="2" t="s">
        <v>166</v>
      </c>
      <c r="E109" s="2" t="s">
        <v>185</v>
      </c>
      <c r="F109" s="2" t="s">
        <v>189</v>
      </c>
      <c r="G109" s="2" t="s">
        <v>196</v>
      </c>
      <c r="H109" s="2">
        <v>1</v>
      </c>
      <c r="I109" s="5">
        <v>55000</v>
      </c>
      <c r="J109" s="10">
        <v>0.15</v>
      </c>
      <c r="K109" s="7">
        <v>10573.84</v>
      </c>
      <c r="L109" t="b">
        <f t="shared" si="1"/>
        <v>0</v>
      </c>
    </row>
    <row r="110" spans="1:12">
      <c r="A110" s="2">
        <v>100108</v>
      </c>
      <c r="B110" s="14">
        <v>45710</v>
      </c>
      <c r="C110" s="2" t="s">
        <v>90</v>
      </c>
      <c r="D110" s="2" t="s">
        <v>172</v>
      </c>
      <c r="E110" s="2" t="s">
        <v>211</v>
      </c>
      <c r="F110" s="2" t="s">
        <v>192</v>
      </c>
      <c r="G110" s="2" t="s">
        <v>208</v>
      </c>
      <c r="H110" s="2">
        <v>1</v>
      </c>
      <c r="I110" s="5">
        <v>3200</v>
      </c>
      <c r="J110" s="10">
        <v>0.05</v>
      </c>
      <c r="K110" s="7">
        <v>655.11</v>
      </c>
      <c r="L110" t="b">
        <f t="shared" si="1"/>
        <v>0</v>
      </c>
    </row>
    <row r="111" spans="1:12">
      <c r="A111" s="2">
        <v>100109</v>
      </c>
      <c r="B111" s="14">
        <v>45829</v>
      </c>
      <c r="C111" s="2" t="s">
        <v>79</v>
      </c>
      <c r="D111" s="2" t="s">
        <v>165</v>
      </c>
      <c r="E111" s="2" t="s">
        <v>183</v>
      </c>
      <c r="F111" s="2" t="s">
        <v>191</v>
      </c>
      <c r="G111" s="2" t="s">
        <v>209</v>
      </c>
      <c r="H111" s="2">
        <v>2</v>
      </c>
      <c r="I111" s="5">
        <v>52000</v>
      </c>
      <c r="J111" s="10">
        <v>0.05</v>
      </c>
      <c r="K111" s="7">
        <v>11017.57</v>
      </c>
      <c r="L111" t="b">
        <f t="shared" si="1"/>
        <v>0</v>
      </c>
    </row>
    <row r="112" spans="1:12">
      <c r="A112" s="2">
        <v>100110</v>
      </c>
      <c r="B112" s="14">
        <v>45816</v>
      </c>
      <c r="C112" s="2" t="s">
        <v>91</v>
      </c>
      <c r="D112" s="2" t="s">
        <v>175</v>
      </c>
      <c r="E112" s="2" t="s">
        <v>188</v>
      </c>
      <c r="F112" s="2" t="s">
        <v>190</v>
      </c>
      <c r="G112" s="2" t="s">
        <v>201</v>
      </c>
      <c r="H112" s="2">
        <v>3</v>
      </c>
      <c r="I112" s="5">
        <v>4500</v>
      </c>
      <c r="J112" s="10">
        <v>0.05</v>
      </c>
      <c r="K112" s="7">
        <v>595.24</v>
      </c>
      <c r="L112" t="b">
        <f t="shared" si="1"/>
        <v>0</v>
      </c>
    </row>
    <row r="113" spans="1:12">
      <c r="A113" s="2">
        <v>100111</v>
      </c>
      <c r="B113" s="14">
        <v>45906</v>
      </c>
      <c r="C113" s="2" t="s">
        <v>51</v>
      </c>
      <c r="D113" s="2" t="s">
        <v>176</v>
      </c>
      <c r="E113" s="2" t="s">
        <v>181</v>
      </c>
      <c r="F113" s="2" t="s">
        <v>189</v>
      </c>
      <c r="G113" s="2" t="s">
        <v>206</v>
      </c>
      <c r="H113" s="2">
        <v>1</v>
      </c>
      <c r="I113" s="5">
        <v>50000</v>
      </c>
      <c r="J113" s="10">
        <v>0.2</v>
      </c>
      <c r="K113" s="7">
        <v>9516.1</v>
      </c>
      <c r="L113" t="b">
        <f t="shared" si="1"/>
        <v>0</v>
      </c>
    </row>
    <row r="114" spans="1:12">
      <c r="A114" s="2">
        <v>100112</v>
      </c>
      <c r="B114" s="14">
        <v>45855</v>
      </c>
      <c r="C114" s="2" t="s">
        <v>92</v>
      </c>
      <c r="D114" s="2" t="s">
        <v>165</v>
      </c>
      <c r="E114" s="2" t="s">
        <v>188</v>
      </c>
      <c r="F114" s="2" t="s">
        <v>190</v>
      </c>
      <c r="G114" s="2" t="s">
        <v>204</v>
      </c>
      <c r="H114" s="2">
        <v>3</v>
      </c>
      <c r="I114" s="5">
        <v>1500</v>
      </c>
      <c r="J114" s="10">
        <v>0.05</v>
      </c>
      <c r="K114" s="7">
        <v>281.99</v>
      </c>
      <c r="L114" t="b">
        <f t="shared" si="1"/>
        <v>0</v>
      </c>
    </row>
    <row r="115" spans="1:12">
      <c r="A115" s="2">
        <v>100113</v>
      </c>
      <c r="B115" s="14">
        <v>45756</v>
      </c>
      <c r="C115" s="2" t="s">
        <v>93</v>
      </c>
      <c r="D115" s="2" t="s">
        <v>177</v>
      </c>
      <c r="E115" s="2" t="s">
        <v>181</v>
      </c>
      <c r="F115" s="2" t="s">
        <v>191</v>
      </c>
      <c r="G115" s="2" t="s">
        <v>200</v>
      </c>
      <c r="H115" s="2">
        <v>3</v>
      </c>
      <c r="I115" s="5">
        <v>84000</v>
      </c>
      <c r="J115" s="10">
        <v>0.2</v>
      </c>
      <c r="K115" s="7">
        <v>8395.81</v>
      </c>
      <c r="L115" t="b">
        <f t="shared" si="1"/>
        <v>0</v>
      </c>
    </row>
    <row r="116" spans="1:12">
      <c r="A116" s="2">
        <v>100114</v>
      </c>
      <c r="B116" s="14">
        <v>45981</v>
      </c>
      <c r="C116" s="2" t="s">
        <v>54</v>
      </c>
      <c r="D116" s="2" t="s">
        <v>170</v>
      </c>
      <c r="E116" s="2" t="s">
        <v>188</v>
      </c>
      <c r="F116" s="2" t="s">
        <v>191</v>
      </c>
      <c r="G116" s="2" t="s">
        <v>202</v>
      </c>
      <c r="H116" s="2">
        <v>3</v>
      </c>
      <c r="I116" s="5">
        <v>114000</v>
      </c>
      <c r="J116" s="10">
        <v>0.2</v>
      </c>
      <c r="K116" s="7">
        <v>11628.58</v>
      </c>
      <c r="L116" t="b">
        <f t="shared" si="1"/>
        <v>0</v>
      </c>
    </row>
    <row r="117" spans="1:12">
      <c r="A117" s="2">
        <v>100115</v>
      </c>
      <c r="B117" s="14">
        <v>45860</v>
      </c>
      <c r="C117" s="2" t="s">
        <v>79</v>
      </c>
      <c r="D117" s="2" t="s">
        <v>165</v>
      </c>
      <c r="E117" s="2" t="s">
        <v>181</v>
      </c>
      <c r="F117" s="2" t="s">
        <v>192</v>
      </c>
      <c r="G117" s="2" t="s">
        <v>207</v>
      </c>
      <c r="H117" s="2">
        <v>1</v>
      </c>
      <c r="I117" s="5">
        <v>1800</v>
      </c>
      <c r="J117" s="10">
        <v>0.1</v>
      </c>
      <c r="K117" s="7">
        <v>201.66</v>
      </c>
      <c r="L117" t="b">
        <f t="shared" si="1"/>
        <v>0</v>
      </c>
    </row>
    <row r="118" spans="1:12">
      <c r="A118" s="2">
        <v>100116</v>
      </c>
      <c r="B118" s="14">
        <v>45723</v>
      </c>
      <c r="C118" s="2" t="s">
        <v>62</v>
      </c>
      <c r="D118" s="2" t="s">
        <v>177</v>
      </c>
      <c r="E118" s="2" t="s">
        <v>187</v>
      </c>
      <c r="F118" s="2" t="s">
        <v>191</v>
      </c>
      <c r="G118" s="2" t="s">
        <v>200</v>
      </c>
      <c r="H118" s="2">
        <v>3</v>
      </c>
      <c r="I118" s="5">
        <v>84000</v>
      </c>
      <c r="J118" s="10">
        <v>0.15</v>
      </c>
      <c r="K118" s="7">
        <v>13328.76</v>
      </c>
      <c r="L118" t="b">
        <f t="shared" si="1"/>
        <v>0</v>
      </c>
    </row>
    <row r="119" spans="1:12">
      <c r="A119" s="2">
        <v>100117</v>
      </c>
      <c r="B119" s="14">
        <v>45721</v>
      </c>
      <c r="C119" s="2" t="s">
        <v>94</v>
      </c>
      <c r="D119" s="2" t="s">
        <v>175</v>
      </c>
      <c r="E119" s="2" t="s">
        <v>182</v>
      </c>
      <c r="F119" s="2" t="s">
        <v>192</v>
      </c>
      <c r="G119" s="2" t="s">
        <v>207</v>
      </c>
      <c r="H119" s="2">
        <v>4</v>
      </c>
      <c r="I119" s="5">
        <v>7200</v>
      </c>
      <c r="J119" s="10">
        <v>0.2</v>
      </c>
      <c r="K119" s="7">
        <v>1059.56</v>
      </c>
      <c r="L119" t="b">
        <f t="shared" si="1"/>
        <v>0</v>
      </c>
    </row>
    <row r="120" spans="1:12">
      <c r="A120" s="2">
        <v>100118</v>
      </c>
      <c r="B120" s="14">
        <v>46000</v>
      </c>
      <c r="C120" s="2" t="s">
        <v>88</v>
      </c>
      <c r="D120" s="2" t="s">
        <v>164</v>
      </c>
      <c r="E120" s="2" t="s">
        <v>181</v>
      </c>
      <c r="F120" s="2" t="s">
        <v>190</v>
      </c>
      <c r="G120" s="2" t="s">
        <v>199</v>
      </c>
      <c r="H120" s="2">
        <v>4</v>
      </c>
      <c r="I120" s="5">
        <v>7200</v>
      </c>
      <c r="J120" s="10">
        <v>0.1</v>
      </c>
      <c r="K120" s="7">
        <v>1217.71</v>
      </c>
      <c r="L120" t="b">
        <f t="shared" si="1"/>
        <v>0</v>
      </c>
    </row>
    <row r="121" spans="1:12">
      <c r="A121" s="2">
        <v>100119</v>
      </c>
      <c r="B121" s="14">
        <v>45951</v>
      </c>
      <c r="C121" s="2" t="s">
        <v>95</v>
      </c>
      <c r="D121" s="2" t="s">
        <v>165</v>
      </c>
      <c r="E121" s="2" t="s">
        <v>186</v>
      </c>
      <c r="F121" s="2" t="s">
        <v>191</v>
      </c>
      <c r="G121" s="2" t="s">
        <v>209</v>
      </c>
      <c r="H121" s="2">
        <v>3</v>
      </c>
      <c r="I121" s="5">
        <v>78000</v>
      </c>
      <c r="J121" s="10">
        <v>0.15</v>
      </c>
      <c r="K121" s="7">
        <v>13177</v>
      </c>
      <c r="L121" t="b">
        <f t="shared" si="1"/>
        <v>0</v>
      </c>
    </row>
    <row r="122" spans="1:12">
      <c r="A122" s="2">
        <v>100120</v>
      </c>
      <c r="B122" s="14">
        <v>45848</v>
      </c>
      <c r="C122" s="2" t="s">
        <v>52</v>
      </c>
      <c r="D122" s="2" t="s">
        <v>170</v>
      </c>
      <c r="E122" s="2" t="s">
        <v>181</v>
      </c>
      <c r="F122" s="2" t="s">
        <v>192</v>
      </c>
      <c r="G122" s="2" t="s">
        <v>203</v>
      </c>
      <c r="H122" s="2">
        <v>3</v>
      </c>
      <c r="I122" s="5">
        <v>6000</v>
      </c>
      <c r="J122" s="10">
        <v>0.1</v>
      </c>
      <c r="K122" s="7">
        <v>1157.45</v>
      </c>
      <c r="L122" t="b">
        <f t="shared" si="1"/>
        <v>0</v>
      </c>
    </row>
    <row r="123" spans="1:12">
      <c r="A123" s="2">
        <v>100121</v>
      </c>
      <c r="B123" s="14">
        <v>45982</v>
      </c>
      <c r="C123" s="2" t="s">
        <v>96</v>
      </c>
      <c r="D123" s="2" t="s">
        <v>173</v>
      </c>
      <c r="E123" s="2" t="s">
        <v>185</v>
      </c>
      <c r="F123" s="2" t="s">
        <v>189</v>
      </c>
      <c r="G123" s="2" t="s">
        <v>196</v>
      </c>
      <c r="H123" s="2">
        <v>2</v>
      </c>
      <c r="I123" s="5">
        <v>110000</v>
      </c>
      <c r="J123" s="10">
        <v>0.2</v>
      </c>
      <c r="K123" s="7">
        <v>20026.82</v>
      </c>
      <c r="L123" t="b">
        <f t="shared" si="1"/>
        <v>0</v>
      </c>
    </row>
    <row r="124" spans="1:12">
      <c r="A124" s="2">
        <v>100122</v>
      </c>
      <c r="B124" s="14">
        <v>45873</v>
      </c>
      <c r="C124" s="2" t="s">
        <v>37</v>
      </c>
      <c r="D124" s="2" t="s">
        <v>173</v>
      </c>
      <c r="E124" s="2" t="s">
        <v>181</v>
      </c>
      <c r="F124" s="2" t="s">
        <v>190</v>
      </c>
      <c r="G124" s="2" t="s">
        <v>195</v>
      </c>
      <c r="H124" s="2">
        <v>4</v>
      </c>
      <c r="I124" s="5">
        <v>3200</v>
      </c>
      <c r="J124" s="10">
        <v>0.15</v>
      </c>
      <c r="K124" s="7">
        <v>664.46</v>
      </c>
      <c r="L124" t="b">
        <f t="shared" si="1"/>
        <v>0</v>
      </c>
    </row>
    <row r="125" spans="1:12">
      <c r="A125" s="2">
        <v>100123</v>
      </c>
      <c r="B125" s="14">
        <v>45855</v>
      </c>
      <c r="C125" s="2" t="s">
        <v>97</v>
      </c>
      <c r="D125" s="2" t="s">
        <v>168</v>
      </c>
      <c r="E125" s="2" t="s">
        <v>185</v>
      </c>
      <c r="F125" s="2" t="s">
        <v>192</v>
      </c>
      <c r="G125" s="2" t="s">
        <v>208</v>
      </c>
      <c r="H125" s="2">
        <v>1</v>
      </c>
      <c r="I125" s="5">
        <v>3200</v>
      </c>
      <c r="J125" s="10">
        <v>0.2</v>
      </c>
      <c r="K125" s="7">
        <v>591.4</v>
      </c>
      <c r="L125" t="b">
        <f t="shared" si="1"/>
        <v>0</v>
      </c>
    </row>
    <row r="126" spans="1:12">
      <c r="A126" s="2">
        <v>100124</v>
      </c>
      <c r="B126" s="14">
        <v>45897</v>
      </c>
      <c r="C126" s="2" t="s">
        <v>96</v>
      </c>
      <c r="D126" s="2" t="s">
        <v>173</v>
      </c>
      <c r="E126" s="2" t="s">
        <v>183</v>
      </c>
      <c r="F126" s="2" t="s">
        <v>189</v>
      </c>
      <c r="G126" s="2" t="s">
        <v>206</v>
      </c>
      <c r="H126" s="2">
        <v>1</v>
      </c>
      <c r="I126" s="5">
        <v>50000</v>
      </c>
      <c r="J126" s="10">
        <v>0.05</v>
      </c>
      <c r="K126" s="7">
        <v>11214.83</v>
      </c>
      <c r="L126" t="b">
        <f t="shared" si="1"/>
        <v>0</v>
      </c>
    </row>
    <row r="127" spans="1:12">
      <c r="A127" s="2">
        <v>100125</v>
      </c>
      <c r="B127" s="14">
        <v>45801</v>
      </c>
      <c r="C127" s="2" t="s">
        <v>44</v>
      </c>
      <c r="D127" s="2" t="s">
        <v>165</v>
      </c>
      <c r="E127" s="2" t="s">
        <v>187</v>
      </c>
      <c r="F127" s="2" t="s">
        <v>190</v>
      </c>
      <c r="G127" s="2" t="s">
        <v>195</v>
      </c>
      <c r="H127" s="2">
        <v>2</v>
      </c>
      <c r="I127" s="5">
        <v>1600</v>
      </c>
      <c r="J127" s="10">
        <v>0.15</v>
      </c>
      <c r="K127" s="7">
        <v>242.46</v>
      </c>
      <c r="L127" t="b">
        <f t="shared" si="1"/>
        <v>0</v>
      </c>
    </row>
    <row r="128" spans="1:12">
      <c r="A128" s="2">
        <v>100126</v>
      </c>
      <c r="B128" s="14">
        <v>45842</v>
      </c>
      <c r="C128" s="2" t="s">
        <v>98</v>
      </c>
      <c r="D128" s="2" t="s">
        <v>174</v>
      </c>
      <c r="E128" s="2" t="s">
        <v>185</v>
      </c>
      <c r="F128" s="2" t="s">
        <v>189</v>
      </c>
      <c r="G128" s="2" t="s">
        <v>193</v>
      </c>
      <c r="H128" s="2">
        <v>3</v>
      </c>
      <c r="I128" s="5">
        <v>255000</v>
      </c>
      <c r="J128" s="10">
        <v>0.15</v>
      </c>
      <c r="K128" s="7">
        <v>26548.639999999999</v>
      </c>
      <c r="L128" t="b">
        <f t="shared" si="1"/>
        <v>0</v>
      </c>
    </row>
    <row r="129" spans="1:12">
      <c r="A129" s="2">
        <v>100127</v>
      </c>
      <c r="B129" s="14">
        <v>45858</v>
      </c>
      <c r="C129" s="2" t="s">
        <v>40</v>
      </c>
      <c r="D129" s="2" t="s">
        <v>167</v>
      </c>
      <c r="E129" s="2" t="s">
        <v>182</v>
      </c>
      <c r="F129" s="2" t="s">
        <v>192</v>
      </c>
      <c r="G129" s="2" t="s">
        <v>205</v>
      </c>
      <c r="H129" s="2">
        <v>1</v>
      </c>
      <c r="I129" s="5">
        <v>4500</v>
      </c>
      <c r="J129" s="10">
        <v>0.1</v>
      </c>
      <c r="K129" s="7">
        <v>866.51</v>
      </c>
      <c r="L129" t="b">
        <f t="shared" si="1"/>
        <v>0</v>
      </c>
    </row>
    <row r="130" spans="1:12">
      <c r="A130" s="2">
        <v>100128</v>
      </c>
      <c r="B130" s="14">
        <v>45752</v>
      </c>
      <c r="C130" s="2" t="s">
        <v>88</v>
      </c>
      <c r="D130" s="2" t="s">
        <v>164</v>
      </c>
      <c r="E130" s="2" t="s">
        <v>184</v>
      </c>
      <c r="F130" s="2" t="s">
        <v>191</v>
      </c>
      <c r="G130" s="2" t="s">
        <v>197</v>
      </c>
      <c r="H130" s="2">
        <v>2</v>
      </c>
      <c r="I130" s="5">
        <v>116000</v>
      </c>
      <c r="J130" s="10">
        <v>0.2</v>
      </c>
      <c r="K130" s="7">
        <v>14747.91</v>
      </c>
      <c r="L130" t="b">
        <f t="shared" si="1"/>
        <v>0</v>
      </c>
    </row>
    <row r="131" spans="1:12">
      <c r="A131" s="2">
        <v>100129</v>
      </c>
      <c r="B131" s="14">
        <v>45815</v>
      </c>
      <c r="C131" s="2" t="s">
        <v>58</v>
      </c>
      <c r="D131" s="2" t="s">
        <v>178</v>
      </c>
      <c r="E131" s="2" t="s">
        <v>187</v>
      </c>
      <c r="F131" s="2" t="s">
        <v>192</v>
      </c>
      <c r="G131" s="2" t="s">
        <v>207</v>
      </c>
      <c r="H131" s="2">
        <v>2</v>
      </c>
      <c r="I131" s="5">
        <v>3600</v>
      </c>
      <c r="J131" s="10">
        <v>0.05</v>
      </c>
      <c r="K131" s="7">
        <v>534.34</v>
      </c>
      <c r="L131" t="b">
        <f t="shared" ref="L131:L194" si="2">COUNTIF(A:A, A131) &gt; 1</f>
        <v>0</v>
      </c>
    </row>
    <row r="132" spans="1:12">
      <c r="A132" s="2">
        <v>100130</v>
      </c>
      <c r="B132" s="14">
        <v>45983</v>
      </c>
      <c r="C132" s="2" t="s">
        <v>99</v>
      </c>
      <c r="D132" s="2" t="s">
        <v>178</v>
      </c>
      <c r="E132" s="2" t="s">
        <v>185</v>
      </c>
      <c r="F132" s="2" t="s">
        <v>192</v>
      </c>
      <c r="G132" s="2" t="s">
        <v>205</v>
      </c>
      <c r="H132" s="2">
        <v>1</v>
      </c>
      <c r="I132" s="5">
        <v>4500</v>
      </c>
      <c r="J132" s="10">
        <v>0.1</v>
      </c>
      <c r="K132" s="7">
        <v>490.67</v>
      </c>
      <c r="L132" t="b">
        <f t="shared" si="2"/>
        <v>0</v>
      </c>
    </row>
    <row r="133" spans="1:12">
      <c r="A133" s="2">
        <v>100131</v>
      </c>
      <c r="B133" s="14">
        <v>46006</v>
      </c>
      <c r="C133" s="2" t="s">
        <v>67</v>
      </c>
      <c r="D133" s="2" t="s">
        <v>171</v>
      </c>
      <c r="E133" s="2" t="s">
        <v>187</v>
      </c>
      <c r="F133" s="2" t="s">
        <v>190</v>
      </c>
      <c r="G133" s="2" t="s">
        <v>199</v>
      </c>
      <c r="H133" s="2">
        <v>4</v>
      </c>
      <c r="I133" s="5">
        <v>7200</v>
      </c>
      <c r="J133" s="10">
        <v>0.1</v>
      </c>
      <c r="K133" s="7">
        <v>1475.5</v>
      </c>
      <c r="L133" t="b">
        <f t="shared" si="2"/>
        <v>0</v>
      </c>
    </row>
    <row r="134" spans="1:12">
      <c r="A134" s="2">
        <v>100132</v>
      </c>
      <c r="B134" s="14">
        <v>45916</v>
      </c>
      <c r="C134" s="2" t="s">
        <v>84</v>
      </c>
      <c r="D134" s="2" t="s">
        <v>165</v>
      </c>
      <c r="E134" s="2" t="s">
        <v>186</v>
      </c>
      <c r="F134" s="2" t="s">
        <v>190</v>
      </c>
      <c r="G134" s="2" t="s">
        <v>199</v>
      </c>
      <c r="H134" s="2">
        <v>3</v>
      </c>
      <c r="I134" s="5">
        <v>5400</v>
      </c>
      <c r="J134" s="10">
        <v>0.15</v>
      </c>
      <c r="K134" s="7">
        <v>991.09</v>
      </c>
      <c r="L134" t="b">
        <f t="shared" si="2"/>
        <v>0</v>
      </c>
    </row>
    <row r="135" spans="1:12">
      <c r="A135" s="2">
        <v>100133</v>
      </c>
      <c r="B135" s="14">
        <v>45805</v>
      </c>
      <c r="C135" s="2" t="s">
        <v>79</v>
      </c>
      <c r="D135" s="2" t="s">
        <v>165</v>
      </c>
      <c r="E135" s="2" t="s">
        <v>187</v>
      </c>
      <c r="F135" s="2" t="s">
        <v>189</v>
      </c>
      <c r="G135" s="2" t="s">
        <v>193</v>
      </c>
      <c r="H135" s="2">
        <v>1</v>
      </c>
      <c r="I135" s="5">
        <v>85000</v>
      </c>
      <c r="J135" s="10">
        <v>0.15</v>
      </c>
      <c r="K135" s="7">
        <v>10011.719999999999</v>
      </c>
      <c r="L135" t="b">
        <f t="shared" si="2"/>
        <v>0</v>
      </c>
    </row>
    <row r="136" spans="1:12">
      <c r="A136" s="2">
        <v>100134</v>
      </c>
      <c r="B136" s="14">
        <v>45909</v>
      </c>
      <c r="C136" s="2" t="s">
        <v>35</v>
      </c>
      <c r="D136" s="2" t="s">
        <v>177</v>
      </c>
      <c r="E136" s="2" t="s">
        <v>187</v>
      </c>
      <c r="F136" s="2" t="s">
        <v>192</v>
      </c>
      <c r="G136" s="2" t="s">
        <v>207</v>
      </c>
      <c r="H136" s="2">
        <v>1</v>
      </c>
      <c r="I136" s="5">
        <v>1800</v>
      </c>
      <c r="J136" s="10">
        <v>0.2</v>
      </c>
      <c r="K136" s="7">
        <v>296.08</v>
      </c>
      <c r="L136" t="b">
        <f t="shared" si="2"/>
        <v>0</v>
      </c>
    </row>
    <row r="137" spans="1:12">
      <c r="A137" s="2">
        <v>100135</v>
      </c>
      <c r="B137" s="14">
        <v>46003</v>
      </c>
      <c r="C137" s="2" t="s">
        <v>26</v>
      </c>
      <c r="D137" s="2" t="s">
        <v>166</v>
      </c>
      <c r="E137" s="2" t="s">
        <v>183</v>
      </c>
      <c r="F137" s="2" t="s">
        <v>190</v>
      </c>
      <c r="G137" s="2" t="s">
        <v>201</v>
      </c>
      <c r="H137" s="2">
        <v>4</v>
      </c>
      <c r="I137" s="5">
        <v>6000</v>
      </c>
      <c r="J137" s="10">
        <v>0.15</v>
      </c>
      <c r="K137" s="7">
        <v>1018.82</v>
      </c>
      <c r="L137" t="b">
        <f t="shared" si="2"/>
        <v>0</v>
      </c>
    </row>
    <row r="138" spans="1:12">
      <c r="A138" s="2">
        <v>100136</v>
      </c>
      <c r="B138" s="14">
        <v>45804</v>
      </c>
      <c r="C138" s="2" t="s">
        <v>81</v>
      </c>
      <c r="D138" s="2" t="s">
        <v>177</v>
      </c>
      <c r="E138" s="2" t="s">
        <v>182</v>
      </c>
      <c r="F138" s="2" t="s">
        <v>192</v>
      </c>
      <c r="G138" s="2" t="s">
        <v>208</v>
      </c>
      <c r="H138" s="2">
        <v>1</v>
      </c>
      <c r="I138" s="5">
        <v>3200</v>
      </c>
      <c r="J138" s="10">
        <v>0.1</v>
      </c>
      <c r="K138" s="7">
        <v>374.67</v>
      </c>
      <c r="L138" t="b">
        <f t="shared" si="2"/>
        <v>0</v>
      </c>
    </row>
    <row r="139" spans="1:12">
      <c r="A139" s="2">
        <v>100137</v>
      </c>
      <c r="B139" s="14">
        <v>45805</v>
      </c>
      <c r="C139" s="2" t="s">
        <v>100</v>
      </c>
      <c r="D139" s="2" t="s">
        <v>170</v>
      </c>
      <c r="E139" s="2" t="s">
        <v>188</v>
      </c>
      <c r="F139" s="2" t="s">
        <v>192</v>
      </c>
      <c r="G139" s="2" t="s">
        <v>207</v>
      </c>
      <c r="H139" s="2">
        <v>2</v>
      </c>
      <c r="I139" s="5">
        <v>3600</v>
      </c>
      <c r="J139" s="10">
        <v>0.15</v>
      </c>
      <c r="K139" s="7">
        <v>393.46</v>
      </c>
      <c r="L139" t="b">
        <f t="shared" si="2"/>
        <v>0</v>
      </c>
    </row>
    <row r="140" spans="1:12">
      <c r="A140" s="2">
        <v>100138</v>
      </c>
      <c r="B140" s="14">
        <v>46009</v>
      </c>
      <c r="C140" s="2" t="s">
        <v>54</v>
      </c>
      <c r="D140" s="2" t="s">
        <v>170</v>
      </c>
      <c r="E140" s="2" t="s">
        <v>188</v>
      </c>
      <c r="F140" s="2" t="s">
        <v>190</v>
      </c>
      <c r="G140" s="2" t="s">
        <v>204</v>
      </c>
      <c r="H140" s="2">
        <v>3</v>
      </c>
      <c r="I140" s="5">
        <v>1500</v>
      </c>
      <c r="J140" s="10">
        <v>0.1</v>
      </c>
      <c r="K140" s="7">
        <v>303.85000000000002</v>
      </c>
      <c r="L140" t="b">
        <f t="shared" si="2"/>
        <v>0</v>
      </c>
    </row>
    <row r="141" spans="1:12">
      <c r="A141" s="2">
        <v>100139</v>
      </c>
      <c r="B141" s="14">
        <v>45856</v>
      </c>
      <c r="C141" s="2" t="s">
        <v>101</v>
      </c>
      <c r="D141" s="2" t="s">
        <v>178</v>
      </c>
      <c r="E141" s="2" t="s">
        <v>185</v>
      </c>
      <c r="F141" s="2" t="s">
        <v>189</v>
      </c>
      <c r="G141" s="2" t="s">
        <v>194</v>
      </c>
      <c r="H141" s="2">
        <v>1</v>
      </c>
      <c r="I141" s="5">
        <v>62000</v>
      </c>
      <c r="J141" s="10">
        <v>0.05</v>
      </c>
      <c r="K141" s="7">
        <v>7840.91</v>
      </c>
      <c r="L141" t="b">
        <f t="shared" si="2"/>
        <v>0</v>
      </c>
    </row>
    <row r="142" spans="1:12">
      <c r="A142" s="2">
        <v>100140</v>
      </c>
      <c r="B142" s="14">
        <v>45931</v>
      </c>
      <c r="C142" s="2" t="s">
        <v>93</v>
      </c>
      <c r="D142" s="2" t="s">
        <v>170</v>
      </c>
      <c r="E142" s="2" t="s">
        <v>181</v>
      </c>
      <c r="F142" s="2" t="s">
        <v>190</v>
      </c>
      <c r="G142" s="2" t="s">
        <v>201</v>
      </c>
      <c r="H142" s="2">
        <v>2</v>
      </c>
      <c r="I142" s="5">
        <v>3000</v>
      </c>
      <c r="J142" s="10">
        <v>0.16</v>
      </c>
      <c r="K142" s="7">
        <v>96.69</v>
      </c>
      <c r="L142" t="b">
        <f t="shared" si="2"/>
        <v>0</v>
      </c>
    </row>
    <row r="143" spans="1:12">
      <c r="A143" s="2">
        <v>100141</v>
      </c>
      <c r="B143" s="14">
        <v>45874</v>
      </c>
      <c r="C143" s="2" t="s">
        <v>101</v>
      </c>
      <c r="D143" s="2" t="s">
        <v>178</v>
      </c>
      <c r="E143" s="2" t="s">
        <v>185</v>
      </c>
      <c r="F143" s="2" t="s">
        <v>191</v>
      </c>
      <c r="G143" s="2" t="s">
        <v>197</v>
      </c>
      <c r="H143" s="2">
        <v>4</v>
      </c>
      <c r="I143" s="5">
        <v>232000</v>
      </c>
      <c r="J143" s="10">
        <v>0.2</v>
      </c>
      <c r="K143" s="7">
        <v>33811.449999999997</v>
      </c>
      <c r="L143" t="b">
        <f t="shared" si="2"/>
        <v>0</v>
      </c>
    </row>
    <row r="144" spans="1:12">
      <c r="A144" s="2">
        <v>100142</v>
      </c>
      <c r="B144" s="14">
        <v>45871</v>
      </c>
      <c r="C144" s="2" t="s">
        <v>102</v>
      </c>
      <c r="D144" s="2" t="s">
        <v>171</v>
      </c>
      <c r="E144" s="2" t="s">
        <v>183</v>
      </c>
      <c r="F144" s="2" t="s">
        <v>191</v>
      </c>
      <c r="G144" s="2" t="s">
        <v>197</v>
      </c>
      <c r="H144" s="2">
        <v>2</v>
      </c>
      <c r="I144" s="5">
        <v>116000</v>
      </c>
      <c r="J144" s="10">
        <v>0.05</v>
      </c>
      <c r="K144" s="7">
        <v>22777.360000000001</v>
      </c>
      <c r="L144" t="b">
        <f t="shared" si="2"/>
        <v>0</v>
      </c>
    </row>
    <row r="145" spans="1:12">
      <c r="A145" s="2">
        <v>100143</v>
      </c>
      <c r="B145" s="14">
        <v>45759</v>
      </c>
      <c r="C145" s="2" t="s">
        <v>103</v>
      </c>
      <c r="D145" s="2" t="s">
        <v>172</v>
      </c>
      <c r="E145" s="2" t="s">
        <v>183</v>
      </c>
      <c r="F145" s="2" t="s">
        <v>190</v>
      </c>
      <c r="G145" s="2" t="s">
        <v>204</v>
      </c>
      <c r="H145" s="2">
        <v>2</v>
      </c>
      <c r="I145" s="5">
        <v>1000</v>
      </c>
      <c r="J145" s="10">
        <v>0.15</v>
      </c>
      <c r="K145" s="7">
        <v>146.34</v>
      </c>
      <c r="L145" t="b">
        <f t="shared" si="2"/>
        <v>0</v>
      </c>
    </row>
    <row r="146" spans="1:12">
      <c r="A146" s="2">
        <v>100144</v>
      </c>
      <c r="B146" s="14">
        <v>46017</v>
      </c>
      <c r="C146" s="2" t="s">
        <v>104</v>
      </c>
      <c r="D146" s="2" t="s">
        <v>168</v>
      </c>
      <c r="E146" s="2" t="s">
        <v>181</v>
      </c>
      <c r="F146" s="2" t="s">
        <v>190</v>
      </c>
      <c r="G146" s="2" t="s">
        <v>199</v>
      </c>
      <c r="H146" s="2">
        <v>4</v>
      </c>
      <c r="I146" s="5">
        <v>7200</v>
      </c>
      <c r="J146" s="10">
        <v>0.1</v>
      </c>
      <c r="K146" s="7">
        <v>1001.82</v>
      </c>
      <c r="L146" t="b">
        <f t="shared" si="2"/>
        <v>0</v>
      </c>
    </row>
    <row r="147" spans="1:12">
      <c r="A147" s="2">
        <v>100145</v>
      </c>
      <c r="B147" s="14">
        <v>45905</v>
      </c>
      <c r="C147" s="2" t="s">
        <v>105</v>
      </c>
      <c r="D147" s="2" t="s">
        <v>165</v>
      </c>
      <c r="E147" s="2" t="s">
        <v>186</v>
      </c>
      <c r="F147" s="2" t="s">
        <v>191</v>
      </c>
      <c r="G147" s="2" t="s">
        <v>200</v>
      </c>
      <c r="H147" s="2">
        <v>3</v>
      </c>
      <c r="I147" s="5">
        <v>84000</v>
      </c>
      <c r="J147" s="10">
        <v>0.05</v>
      </c>
      <c r="K147" s="7">
        <v>18313.3</v>
      </c>
      <c r="L147" t="b">
        <f t="shared" si="2"/>
        <v>0</v>
      </c>
    </row>
    <row r="148" spans="1:12">
      <c r="A148" s="2">
        <v>100146</v>
      </c>
      <c r="B148" s="14">
        <v>45924</v>
      </c>
      <c r="C148" s="2" t="s">
        <v>103</v>
      </c>
      <c r="D148" s="2" t="s">
        <v>172</v>
      </c>
      <c r="E148" s="2" t="s">
        <v>183</v>
      </c>
      <c r="F148" s="2" t="s">
        <v>189</v>
      </c>
      <c r="G148" s="2" t="s">
        <v>206</v>
      </c>
      <c r="H148" s="2">
        <v>2</v>
      </c>
      <c r="I148" s="5">
        <v>100000</v>
      </c>
      <c r="J148" s="10">
        <v>0.05</v>
      </c>
      <c r="K148" s="7">
        <v>11815.81</v>
      </c>
      <c r="L148" t="b">
        <f t="shared" si="2"/>
        <v>0</v>
      </c>
    </row>
    <row r="149" spans="1:12">
      <c r="A149" s="2">
        <v>100147</v>
      </c>
      <c r="B149" s="14">
        <v>45808</v>
      </c>
      <c r="C149" s="2" t="s">
        <v>12</v>
      </c>
      <c r="D149" s="2" t="s">
        <v>165</v>
      </c>
      <c r="E149" s="2" t="s">
        <v>181</v>
      </c>
      <c r="F149" s="2" t="s">
        <v>190</v>
      </c>
      <c r="G149" s="2" t="s">
        <v>201</v>
      </c>
      <c r="H149" s="2">
        <v>3</v>
      </c>
      <c r="I149" s="5">
        <v>4500</v>
      </c>
      <c r="J149" s="10">
        <v>0.05</v>
      </c>
      <c r="K149" s="7">
        <v>935.15</v>
      </c>
      <c r="L149" t="b">
        <f t="shared" si="2"/>
        <v>0</v>
      </c>
    </row>
    <row r="150" spans="1:12">
      <c r="A150" s="2">
        <v>100148</v>
      </c>
      <c r="B150" s="14">
        <v>45955</v>
      </c>
      <c r="C150" s="2" t="s">
        <v>45</v>
      </c>
      <c r="D150" s="2" t="s">
        <v>165</v>
      </c>
      <c r="E150" s="2" t="s">
        <v>182</v>
      </c>
      <c r="F150" s="2" t="s">
        <v>190</v>
      </c>
      <c r="G150" s="2" t="s">
        <v>201</v>
      </c>
      <c r="H150" s="2">
        <v>3</v>
      </c>
      <c r="I150" s="5">
        <v>4500</v>
      </c>
      <c r="J150" s="10">
        <v>0.15</v>
      </c>
      <c r="K150" s="7">
        <v>890.08</v>
      </c>
      <c r="L150" t="b">
        <f t="shared" si="2"/>
        <v>0</v>
      </c>
    </row>
    <row r="151" spans="1:12">
      <c r="A151" s="2">
        <v>100149</v>
      </c>
      <c r="B151" s="14">
        <v>45904</v>
      </c>
      <c r="C151" s="2" t="s">
        <v>106</v>
      </c>
      <c r="D151" s="2" t="s">
        <v>170</v>
      </c>
      <c r="E151" s="2" t="s">
        <v>185</v>
      </c>
      <c r="F151" s="2" t="s">
        <v>191</v>
      </c>
      <c r="G151" s="2" t="s">
        <v>197</v>
      </c>
      <c r="H151" s="2">
        <v>4</v>
      </c>
      <c r="I151" s="5">
        <v>232000</v>
      </c>
      <c r="J151" s="10">
        <v>0.2</v>
      </c>
      <c r="K151" s="7">
        <v>35654.769999999997</v>
      </c>
      <c r="L151" t="b">
        <f t="shared" si="2"/>
        <v>0</v>
      </c>
    </row>
    <row r="152" spans="1:12">
      <c r="A152" s="2">
        <v>100150</v>
      </c>
      <c r="B152" s="14">
        <v>45920</v>
      </c>
      <c r="C152" s="2" t="s">
        <v>107</v>
      </c>
      <c r="D152" s="2" t="s">
        <v>171</v>
      </c>
      <c r="E152" s="2" t="s">
        <v>184</v>
      </c>
      <c r="F152" s="2" t="s">
        <v>192</v>
      </c>
      <c r="G152" s="2" t="s">
        <v>207</v>
      </c>
      <c r="H152" s="2">
        <v>2</v>
      </c>
      <c r="I152" s="5">
        <v>3600</v>
      </c>
      <c r="J152" s="10">
        <v>0.1</v>
      </c>
      <c r="K152" s="7">
        <v>583.89</v>
      </c>
      <c r="L152" t="b">
        <f t="shared" si="2"/>
        <v>0</v>
      </c>
    </row>
    <row r="153" spans="1:12">
      <c r="A153" s="2">
        <v>100151</v>
      </c>
      <c r="B153" s="14">
        <v>45909</v>
      </c>
      <c r="C153" s="2" t="s">
        <v>87</v>
      </c>
      <c r="D153" s="2" t="s">
        <v>174</v>
      </c>
      <c r="E153" s="2" t="s">
        <v>182</v>
      </c>
      <c r="F153" s="2" t="s">
        <v>191</v>
      </c>
      <c r="G153" s="2" t="s">
        <v>209</v>
      </c>
      <c r="H153" s="2">
        <v>1</v>
      </c>
      <c r="I153" s="5">
        <v>26000</v>
      </c>
      <c r="J153" s="10">
        <v>0.2</v>
      </c>
      <c r="K153" s="7">
        <v>3280.08</v>
      </c>
      <c r="L153" t="b">
        <f t="shared" si="2"/>
        <v>0</v>
      </c>
    </row>
    <row r="154" spans="1:12">
      <c r="A154" s="2">
        <v>100152</v>
      </c>
      <c r="B154" s="14">
        <v>45801</v>
      </c>
      <c r="C154" s="2" t="s">
        <v>24</v>
      </c>
      <c r="D154" s="2" t="s">
        <v>166</v>
      </c>
      <c r="E154" s="2" t="s">
        <v>183</v>
      </c>
      <c r="F154" s="2" t="s">
        <v>191</v>
      </c>
      <c r="G154" s="2" t="s">
        <v>202</v>
      </c>
      <c r="H154" s="2">
        <v>4</v>
      </c>
      <c r="I154" s="5">
        <v>152000</v>
      </c>
      <c r="J154" s="10">
        <v>0.05</v>
      </c>
      <c r="K154" s="7">
        <v>34538.01</v>
      </c>
      <c r="L154" t="b">
        <f t="shared" si="2"/>
        <v>0</v>
      </c>
    </row>
    <row r="155" spans="1:12">
      <c r="A155" s="2">
        <v>100153</v>
      </c>
      <c r="B155" s="14">
        <v>46003</v>
      </c>
      <c r="C155" s="2" t="s">
        <v>17</v>
      </c>
      <c r="D155" s="2" t="s">
        <v>169</v>
      </c>
      <c r="E155" s="2" t="s">
        <v>182</v>
      </c>
      <c r="F155" s="2" t="s">
        <v>192</v>
      </c>
      <c r="G155" s="2" t="s">
        <v>205</v>
      </c>
      <c r="H155" s="2">
        <v>4</v>
      </c>
      <c r="I155" s="5">
        <v>18000</v>
      </c>
      <c r="J155" s="10">
        <v>0.15</v>
      </c>
      <c r="K155" s="7">
        <v>2151.5</v>
      </c>
      <c r="L155" t="b">
        <f t="shared" si="2"/>
        <v>0</v>
      </c>
    </row>
    <row r="156" spans="1:12">
      <c r="A156" s="2">
        <v>100154</v>
      </c>
      <c r="B156" s="14">
        <v>45769</v>
      </c>
      <c r="C156" s="2" t="s">
        <v>18</v>
      </c>
      <c r="D156" s="2" t="s">
        <v>170</v>
      </c>
      <c r="E156" s="2" t="s">
        <v>182</v>
      </c>
      <c r="F156" s="2" t="s">
        <v>191</v>
      </c>
      <c r="G156" s="2" t="s">
        <v>197</v>
      </c>
      <c r="H156" s="2">
        <v>4</v>
      </c>
      <c r="I156" s="5">
        <v>232000</v>
      </c>
      <c r="J156" s="10">
        <v>0.1</v>
      </c>
      <c r="K156" s="7">
        <v>44646.41</v>
      </c>
      <c r="L156" t="b">
        <f t="shared" si="2"/>
        <v>0</v>
      </c>
    </row>
    <row r="157" spans="1:12">
      <c r="A157" s="2">
        <v>100155</v>
      </c>
      <c r="B157" s="14">
        <v>45660</v>
      </c>
      <c r="C157" s="2" t="s">
        <v>61</v>
      </c>
      <c r="D157" s="2" t="s">
        <v>178</v>
      </c>
      <c r="E157" s="2" t="s">
        <v>186</v>
      </c>
      <c r="F157" s="2" t="s">
        <v>189</v>
      </c>
      <c r="G157" s="2" t="s">
        <v>198</v>
      </c>
      <c r="H157" s="2">
        <v>1</v>
      </c>
      <c r="I157" s="5">
        <v>45000</v>
      </c>
      <c r="J157" s="10">
        <v>0.15</v>
      </c>
      <c r="K157" s="7">
        <v>5100.92</v>
      </c>
      <c r="L157" t="b">
        <f t="shared" si="2"/>
        <v>0</v>
      </c>
    </row>
    <row r="158" spans="1:12">
      <c r="A158" s="2">
        <v>100156</v>
      </c>
      <c r="B158" s="14">
        <v>45689</v>
      </c>
      <c r="C158" s="2" t="s">
        <v>108</v>
      </c>
      <c r="D158" s="2" t="s">
        <v>164</v>
      </c>
      <c r="E158" s="2" t="s">
        <v>186</v>
      </c>
      <c r="F158" s="2" t="s">
        <v>189</v>
      </c>
      <c r="G158" s="2" t="s">
        <v>194</v>
      </c>
      <c r="H158" s="2">
        <v>1</v>
      </c>
      <c r="I158" s="5">
        <v>62000</v>
      </c>
      <c r="J158" s="10">
        <v>0.1</v>
      </c>
      <c r="K158" s="7">
        <v>11882.89</v>
      </c>
      <c r="L158" t="b">
        <f t="shared" si="2"/>
        <v>0</v>
      </c>
    </row>
    <row r="159" spans="1:12">
      <c r="A159" s="2">
        <v>100157</v>
      </c>
      <c r="B159" s="14">
        <v>45961</v>
      </c>
      <c r="C159" s="2" t="s">
        <v>28</v>
      </c>
      <c r="D159" s="2" t="s">
        <v>174</v>
      </c>
      <c r="E159" s="2" t="s">
        <v>186</v>
      </c>
      <c r="F159" s="2" t="s">
        <v>191</v>
      </c>
      <c r="G159" s="2" t="s">
        <v>197</v>
      </c>
      <c r="H159" s="2">
        <v>1</v>
      </c>
      <c r="I159" s="5">
        <v>58000</v>
      </c>
      <c r="J159" s="10">
        <v>0.15</v>
      </c>
      <c r="K159" s="7">
        <v>9654.16</v>
      </c>
      <c r="L159" t="b">
        <f t="shared" si="2"/>
        <v>0</v>
      </c>
    </row>
    <row r="160" spans="1:12">
      <c r="A160" s="2">
        <v>100158</v>
      </c>
      <c r="B160" s="14">
        <v>45970</v>
      </c>
      <c r="C160" s="2" t="s">
        <v>109</v>
      </c>
      <c r="D160" s="2" t="s">
        <v>170</v>
      </c>
      <c r="E160" s="2" t="s">
        <v>182</v>
      </c>
      <c r="F160" s="2" t="s">
        <v>192</v>
      </c>
      <c r="G160" s="2" t="s">
        <v>203</v>
      </c>
      <c r="H160" s="2">
        <v>2</v>
      </c>
      <c r="I160" s="5">
        <v>4000</v>
      </c>
      <c r="J160" s="10">
        <v>0.05</v>
      </c>
      <c r="K160" s="7">
        <v>920.58</v>
      </c>
      <c r="L160" t="b">
        <f t="shared" si="2"/>
        <v>0</v>
      </c>
    </row>
    <row r="161" spans="1:12">
      <c r="A161" s="2">
        <v>100159</v>
      </c>
      <c r="B161" s="14">
        <v>45797</v>
      </c>
      <c r="C161" s="2" t="s">
        <v>110</v>
      </c>
      <c r="D161" s="2" t="s">
        <v>169</v>
      </c>
      <c r="E161" s="2" t="s">
        <v>183</v>
      </c>
      <c r="F161" s="2" t="s">
        <v>192</v>
      </c>
      <c r="G161" s="2" t="s">
        <v>203</v>
      </c>
      <c r="H161" s="2">
        <v>4</v>
      </c>
      <c r="I161" s="5">
        <v>8000</v>
      </c>
      <c r="J161" s="10">
        <v>0.15</v>
      </c>
      <c r="K161" s="7">
        <v>1546.82</v>
      </c>
      <c r="L161" t="b">
        <f t="shared" si="2"/>
        <v>0</v>
      </c>
    </row>
    <row r="162" spans="1:12">
      <c r="A162" s="2">
        <v>100160</v>
      </c>
      <c r="B162" s="14">
        <v>45810</v>
      </c>
      <c r="C162" s="2" t="s">
        <v>36</v>
      </c>
      <c r="D162" s="2" t="s">
        <v>168</v>
      </c>
      <c r="E162" s="2" t="s">
        <v>184</v>
      </c>
      <c r="F162" s="2" t="s">
        <v>190</v>
      </c>
      <c r="G162" s="2" t="s">
        <v>195</v>
      </c>
      <c r="H162" s="2">
        <v>1</v>
      </c>
      <c r="I162" s="5">
        <v>800</v>
      </c>
      <c r="J162" s="10">
        <v>0.15</v>
      </c>
      <c r="K162" s="7">
        <v>158.19999999999999</v>
      </c>
      <c r="L162" t="b">
        <f t="shared" si="2"/>
        <v>0</v>
      </c>
    </row>
    <row r="163" spans="1:12">
      <c r="A163" s="2">
        <v>100161</v>
      </c>
      <c r="B163" s="14">
        <v>45906</v>
      </c>
      <c r="C163" s="2" t="s">
        <v>43</v>
      </c>
      <c r="D163" s="2" t="s">
        <v>165</v>
      </c>
      <c r="E163" s="2" t="s">
        <v>187</v>
      </c>
      <c r="F163" s="2" t="s">
        <v>192</v>
      </c>
      <c r="G163" s="2" t="s">
        <v>207</v>
      </c>
      <c r="H163" s="2">
        <v>2</v>
      </c>
      <c r="I163" s="5">
        <v>3600</v>
      </c>
      <c r="J163" s="10">
        <v>0.15</v>
      </c>
      <c r="K163" s="7">
        <v>742.32</v>
      </c>
      <c r="L163" t="b">
        <f t="shared" si="2"/>
        <v>0</v>
      </c>
    </row>
    <row r="164" spans="1:12">
      <c r="A164" s="2">
        <v>100162</v>
      </c>
      <c r="B164" s="14">
        <v>45901</v>
      </c>
      <c r="C164" s="2" t="s">
        <v>56</v>
      </c>
      <c r="D164" s="2" t="s">
        <v>171</v>
      </c>
      <c r="E164" s="2" t="s">
        <v>182</v>
      </c>
      <c r="F164" s="2" t="s">
        <v>190</v>
      </c>
      <c r="G164" s="2" t="s">
        <v>201</v>
      </c>
      <c r="H164" s="2">
        <v>2</v>
      </c>
      <c r="I164" s="5">
        <v>3000</v>
      </c>
      <c r="J164" s="10">
        <v>0.2</v>
      </c>
      <c r="K164" s="7">
        <v>580.13</v>
      </c>
      <c r="L164" t="b">
        <f t="shared" si="2"/>
        <v>0</v>
      </c>
    </row>
    <row r="165" spans="1:12">
      <c r="A165" s="2">
        <v>100163</v>
      </c>
      <c r="B165" s="14">
        <v>45890</v>
      </c>
      <c r="C165" s="2" t="s">
        <v>111</v>
      </c>
      <c r="D165" s="2" t="s">
        <v>175</v>
      </c>
      <c r="E165" s="2" t="s">
        <v>181</v>
      </c>
      <c r="F165" s="2" t="s">
        <v>190</v>
      </c>
      <c r="G165" s="2" t="s">
        <v>201</v>
      </c>
      <c r="H165" s="2">
        <v>1</v>
      </c>
      <c r="I165" s="5">
        <v>1500</v>
      </c>
      <c r="J165" s="10">
        <v>0.1</v>
      </c>
      <c r="K165" s="7">
        <v>169.42</v>
      </c>
      <c r="L165" t="b">
        <f t="shared" si="2"/>
        <v>0</v>
      </c>
    </row>
    <row r="166" spans="1:12">
      <c r="A166" s="2">
        <v>100164</v>
      </c>
      <c r="B166" s="14">
        <v>45904</v>
      </c>
      <c r="C166" s="2" t="s">
        <v>75</v>
      </c>
      <c r="D166" s="2" t="s">
        <v>173</v>
      </c>
      <c r="E166" s="2" t="s">
        <v>183</v>
      </c>
      <c r="F166" s="2" t="s">
        <v>189</v>
      </c>
      <c r="G166" s="2" t="s">
        <v>206</v>
      </c>
      <c r="H166" s="2">
        <v>4</v>
      </c>
      <c r="I166" s="5">
        <v>200000</v>
      </c>
      <c r="J166" s="10">
        <v>0.15</v>
      </c>
      <c r="K166" s="7">
        <v>39057.9</v>
      </c>
      <c r="L166" t="b">
        <f t="shared" si="2"/>
        <v>0</v>
      </c>
    </row>
    <row r="167" spans="1:12">
      <c r="A167" s="2">
        <v>100165</v>
      </c>
      <c r="B167" s="14">
        <v>45804</v>
      </c>
      <c r="C167" s="2" t="s">
        <v>66</v>
      </c>
      <c r="D167" s="2" t="s">
        <v>177</v>
      </c>
      <c r="E167" s="2" t="s">
        <v>182</v>
      </c>
      <c r="F167" s="2" t="s">
        <v>190</v>
      </c>
      <c r="G167" s="2" t="s">
        <v>199</v>
      </c>
      <c r="H167" s="2">
        <v>3</v>
      </c>
      <c r="I167" s="5">
        <v>5400</v>
      </c>
      <c r="J167" s="10">
        <v>0.15</v>
      </c>
      <c r="K167" s="7">
        <v>702.5</v>
      </c>
      <c r="L167" t="b">
        <f t="shared" si="2"/>
        <v>0</v>
      </c>
    </row>
    <row r="168" spans="1:12">
      <c r="A168" s="2">
        <v>100166</v>
      </c>
      <c r="B168" s="14">
        <v>45961</v>
      </c>
      <c r="C168" s="2" t="s">
        <v>112</v>
      </c>
      <c r="D168" s="2" t="s">
        <v>177</v>
      </c>
      <c r="E168" s="2" t="s">
        <v>184</v>
      </c>
      <c r="F168" s="2" t="s">
        <v>190</v>
      </c>
      <c r="G168" s="2" t="s">
        <v>201</v>
      </c>
      <c r="H168" s="2">
        <v>1</v>
      </c>
      <c r="I168" s="5">
        <v>1500</v>
      </c>
      <c r="J168" s="10">
        <v>0.05</v>
      </c>
      <c r="K168" s="7">
        <v>222.58</v>
      </c>
      <c r="L168" t="b">
        <f t="shared" si="2"/>
        <v>0</v>
      </c>
    </row>
    <row r="169" spans="1:12">
      <c r="A169" s="2">
        <v>100167</v>
      </c>
      <c r="B169" s="14">
        <v>45865</v>
      </c>
      <c r="C169" s="2" t="s">
        <v>71</v>
      </c>
      <c r="D169" s="2" t="s">
        <v>174</v>
      </c>
      <c r="E169" s="2" t="s">
        <v>187</v>
      </c>
      <c r="F169" s="2" t="s">
        <v>190</v>
      </c>
      <c r="G169" s="2" t="s">
        <v>201</v>
      </c>
      <c r="H169" s="2">
        <v>4</v>
      </c>
      <c r="I169" s="5">
        <v>6000</v>
      </c>
      <c r="J169" s="10">
        <v>0.15</v>
      </c>
      <c r="K169" s="7">
        <v>1237.8599999999999</v>
      </c>
      <c r="L169" t="b">
        <f t="shared" si="2"/>
        <v>0</v>
      </c>
    </row>
    <row r="170" spans="1:12">
      <c r="A170" s="2">
        <v>100168</v>
      </c>
      <c r="B170" s="14">
        <v>45966</v>
      </c>
      <c r="C170" s="2" t="s">
        <v>35</v>
      </c>
      <c r="D170" s="2" t="s">
        <v>177</v>
      </c>
      <c r="E170" s="2" t="s">
        <v>186</v>
      </c>
      <c r="F170" s="2" t="s">
        <v>189</v>
      </c>
      <c r="G170" s="2" t="s">
        <v>193</v>
      </c>
      <c r="H170" s="2">
        <v>4</v>
      </c>
      <c r="I170" s="5">
        <v>340000</v>
      </c>
      <c r="J170" s="10">
        <v>0.15</v>
      </c>
      <c r="K170" s="7">
        <v>58512.14</v>
      </c>
      <c r="L170" t="b">
        <f t="shared" si="2"/>
        <v>0</v>
      </c>
    </row>
    <row r="171" spans="1:12">
      <c r="A171" s="2">
        <v>100169</v>
      </c>
      <c r="B171" s="14">
        <v>45663</v>
      </c>
      <c r="C171" s="2" t="s">
        <v>113</v>
      </c>
      <c r="D171" s="2" t="s">
        <v>164</v>
      </c>
      <c r="E171" s="2" t="s">
        <v>183</v>
      </c>
      <c r="F171" s="2" t="s">
        <v>189</v>
      </c>
      <c r="G171" s="2" t="s">
        <v>194</v>
      </c>
      <c r="H171" s="2">
        <v>1</v>
      </c>
      <c r="I171" s="5">
        <v>62000</v>
      </c>
      <c r="J171" s="10">
        <v>0.05</v>
      </c>
      <c r="K171" s="7">
        <v>10885.56</v>
      </c>
      <c r="L171" t="b">
        <f t="shared" si="2"/>
        <v>0</v>
      </c>
    </row>
    <row r="172" spans="1:12">
      <c r="A172" s="2">
        <v>100170</v>
      </c>
      <c r="B172" s="14">
        <v>45711</v>
      </c>
      <c r="C172" s="2" t="s">
        <v>65</v>
      </c>
      <c r="D172" s="2" t="s">
        <v>178</v>
      </c>
      <c r="E172" s="2" t="s">
        <v>188</v>
      </c>
      <c r="F172" s="2" t="s">
        <v>190</v>
      </c>
      <c r="G172" s="2" t="s">
        <v>204</v>
      </c>
      <c r="H172" s="2">
        <v>4</v>
      </c>
      <c r="I172" s="5">
        <v>2000</v>
      </c>
      <c r="J172" s="10">
        <v>0.05</v>
      </c>
      <c r="K172" s="7">
        <v>345.56</v>
      </c>
      <c r="L172" t="b">
        <f t="shared" si="2"/>
        <v>0</v>
      </c>
    </row>
    <row r="173" spans="1:12">
      <c r="A173" s="2">
        <v>100171</v>
      </c>
      <c r="B173" s="14">
        <v>45777</v>
      </c>
      <c r="C173" s="2" t="s">
        <v>69</v>
      </c>
      <c r="D173" s="2" t="s">
        <v>177</v>
      </c>
      <c r="E173" s="2" t="s">
        <v>187</v>
      </c>
      <c r="F173" s="2" t="s">
        <v>192</v>
      </c>
      <c r="G173" s="2" t="s">
        <v>205</v>
      </c>
      <c r="H173" s="2">
        <v>4</v>
      </c>
      <c r="I173" s="5">
        <v>18000</v>
      </c>
      <c r="J173" s="10">
        <v>0.1</v>
      </c>
      <c r="K173" s="7">
        <v>3567.26</v>
      </c>
      <c r="L173" t="b">
        <f t="shared" si="2"/>
        <v>0</v>
      </c>
    </row>
    <row r="174" spans="1:12">
      <c r="A174" s="2">
        <v>100172</v>
      </c>
      <c r="B174" s="14">
        <v>45936</v>
      </c>
      <c r="C174" s="2" t="s">
        <v>11</v>
      </c>
      <c r="D174" s="2" t="s">
        <v>164</v>
      </c>
      <c r="E174" s="2" t="s">
        <v>181</v>
      </c>
      <c r="F174" s="2" t="s">
        <v>189</v>
      </c>
      <c r="G174" s="2" t="s">
        <v>198</v>
      </c>
      <c r="H174" s="2">
        <v>3</v>
      </c>
      <c r="I174" s="5">
        <v>135000</v>
      </c>
      <c r="J174" s="10">
        <v>0.05</v>
      </c>
      <c r="K174" s="7">
        <v>18491.47</v>
      </c>
      <c r="L174" t="b">
        <f t="shared" si="2"/>
        <v>0</v>
      </c>
    </row>
    <row r="175" spans="1:12">
      <c r="A175" s="2">
        <v>100173</v>
      </c>
      <c r="B175" s="14">
        <v>45773</v>
      </c>
      <c r="C175" s="2" t="s">
        <v>114</v>
      </c>
      <c r="D175" s="2" t="s">
        <v>169</v>
      </c>
      <c r="E175" s="2" t="s">
        <v>182</v>
      </c>
      <c r="F175" s="2" t="s">
        <v>189</v>
      </c>
      <c r="G175" s="2" t="s">
        <v>193</v>
      </c>
      <c r="H175" s="2">
        <v>4</v>
      </c>
      <c r="I175" s="5">
        <v>340000</v>
      </c>
      <c r="J175" s="10">
        <v>0.15</v>
      </c>
      <c r="K175" s="7">
        <v>61717.39</v>
      </c>
      <c r="L175" t="b">
        <f t="shared" si="2"/>
        <v>0</v>
      </c>
    </row>
    <row r="176" spans="1:12">
      <c r="A176" s="2">
        <v>100174</v>
      </c>
      <c r="B176" s="14">
        <v>45732</v>
      </c>
      <c r="C176" s="2" t="s">
        <v>115</v>
      </c>
      <c r="D176" s="2" t="s">
        <v>176</v>
      </c>
      <c r="E176" s="2" t="s">
        <v>184</v>
      </c>
      <c r="F176" s="2" t="s">
        <v>189</v>
      </c>
      <c r="G176" s="2" t="s">
        <v>206</v>
      </c>
      <c r="H176" s="2">
        <v>2</v>
      </c>
      <c r="I176" s="5">
        <v>100000</v>
      </c>
      <c r="J176" s="10">
        <v>0.15</v>
      </c>
      <c r="K176" s="7">
        <v>18271.98</v>
      </c>
      <c r="L176" t="b">
        <f t="shared" si="2"/>
        <v>0</v>
      </c>
    </row>
    <row r="177" spans="1:12">
      <c r="A177" s="2">
        <v>100175</v>
      </c>
      <c r="B177" s="14">
        <v>45770</v>
      </c>
      <c r="C177" s="2" t="s">
        <v>46</v>
      </c>
      <c r="D177" s="2" t="s">
        <v>169</v>
      </c>
      <c r="E177" s="2" t="s">
        <v>188</v>
      </c>
      <c r="F177" s="2" t="s">
        <v>191</v>
      </c>
      <c r="G177" s="2" t="s">
        <v>200</v>
      </c>
      <c r="H177" s="2">
        <v>4</v>
      </c>
      <c r="I177" s="5">
        <v>112000</v>
      </c>
      <c r="J177" s="10">
        <v>0.05</v>
      </c>
      <c r="K177" s="7">
        <v>23197.65</v>
      </c>
      <c r="L177" t="b">
        <f t="shared" si="2"/>
        <v>0</v>
      </c>
    </row>
    <row r="178" spans="1:12">
      <c r="A178" s="2">
        <v>100176</v>
      </c>
      <c r="B178" s="14">
        <v>45761</v>
      </c>
      <c r="C178" s="2" t="s">
        <v>59</v>
      </c>
      <c r="D178" s="2" t="s">
        <v>165</v>
      </c>
      <c r="E178" s="2" t="s">
        <v>184</v>
      </c>
      <c r="F178" s="2" t="s">
        <v>189</v>
      </c>
      <c r="G178" s="2" t="s">
        <v>194</v>
      </c>
      <c r="H178" s="2">
        <v>1</v>
      </c>
      <c r="I178" s="5">
        <v>62000</v>
      </c>
      <c r="J178" s="10">
        <v>0.2</v>
      </c>
      <c r="K178" s="7">
        <v>11953.85</v>
      </c>
      <c r="L178" t="b">
        <f t="shared" si="2"/>
        <v>0</v>
      </c>
    </row>
    <row r="179" spans="1:12">
      <c r="A179" s="2">
        <v>100177</v>
      </c>
      <c r="B179" s="14">
        <v>45820</v>
      </c>
      <c r="C179" s="2" t="s">
        <v>89</v>
      </c>
      <c r="D179" s="2" t="s">
        <v>166</v>
      </c>
      <c r="E179" s="2" t="s">
        <v>188</v>
      </c>
      <c r="F179" s="2" t="s">
        <v>192</v>
      </c>
      <c r="G179" s="2" t="s">
        <v>205</v>
      </c>
      <c r="H179" s="2">
        <v>3</v>
      </c>
      <c r="I179" s="5">
        <v>13500</v>
      </c>
      <c r="J179" s="10">
        <v>0.2</v>
      </c>
      <c r="K179" s="7">
        <v>2664.33</v>
      </c>
      <c r="L179" t="b">
        <f t="shared" si="2"/>
        <v>0</v>
      </c>
    </row>
    <row r="180" spans="1:12">
      <c r="A180" s="2">
        <v>100178</v>
      </c>
      <c r="B180" s="14">
        <v>45970</v>
      </c>
      <c r="C180" s="2" t="s">
        <v>116</v>
      </c>
      <c r="D180" s="2" t="s">
        <v>164</v>
      </c>
      <c r="E180" s="2" t="s">
        <v>183</v>
      </c>
      <c r="F180" s="2" t="s">
        <v>192</v>
      </c>
      <c r="G180" s="2" t="s">
        <v>203</v>
      </c>
      <c r="H180" s="2">
        <v>4</v>
      </c>
      <c r="I180" s="5">
        <v>8000</v>
      </c>
      <c r="J180" s="10">
        <v>0.2</v>
      </c>
      <c r="K180" s="7">
        <v>1157.5</v>
      </c>
      <c r="L180" t="b">
        <f t="shared" si="2"/>
        <v>0</v>
      </c>
    </row>
    <row r="181" spans="1:12">
      <c r="A181" s="2">
        <v>100179</v>
      </c>
      <c r="B181" s="14">
        <v>45884</v>
      </c>
      <c r="C181" s="2" t="s">
        <v>117</v>
      </c>
      <c r="D181" s="2" t="s">
        <v>174</v>
      </c>
      <c r="E181" s="2" t="s">
        <v>188</v>
      </c>
      <c r="F181" s="2" t="s">
        <v>189</v>
      </c>
      <c r="G181" s="2" t="s">
        <v>198</v>
      </c>
      <c r="H181" s="2">
        <v>1</v>
      </c>
      <c r="I181" s="5">
        <v>45000</v>
      </c>
      <c r="J181" s="10">
        <v>0.2</v>
      </c>
      <c r="K181" s="7">
        <v>4521.2700000000004</v>
      </c>
      <c r="L181" t="b">
        <f t="shared" si="2"/>
        <v>0</v>
      </c>
    </row>
    <row r="182" spans="1:12">
      <c r="A182" s="2">
        <v>100180</v>
      </c>
      <c r="B182" s="14">
        <v>45769</v>
      </c>
      <c r="C182" s="2" t="s">
        <v>45</v>
      </c>
      <c r="D182" s="2" t="s">
        <v>165</v>
      </c>
      <c r="E182" s="2" t="s">
        <v>181</v>
      </c>
      <c r="F182" s="2" t="s">
        <v>189</v>
      </c>
      <c r="G182" s="2" t="s">
        <v>206</v>
      </c>
      <c r="H182" s="2">
        <v>1</v>
      </c>
      <c r="I182" s="5">
        <v>50000</v>
      </c>
      <c r="J182" s="10">
        <v>0.1</v>
      </c>
      <c r="K182" s="7">
        <v>9974.7900000000009</v>
      </c>
      <c r="L182" t="b">
        <f t="shared" si="2"/>
        <v>0</v>
      </c>
    </row>
    <row r="183" spans="1:12">
      <c r="A183" s="2">
        <v>100181</v>
      </c>
      <c r="B183" s="14">
        <v>45904</v>
      </c>
      <c r="C183" s="2" t="s">
        <v>118</v>
      </c>
      <c r="D183" s="2" t="s">
        <v>166</v>
      </c>
      <c r="E183" s="2" t="s">
        <v>181</v>
      </c>
      <c r="F183" s="2" t="s">
        <v>189</v>
      </c>
      <c r="G183" s="2" t="s">
        <v>198</v>
      </c>
      <c r="H183" s="2">
        <v>3</v>
      </c>
      <c r="I183" s="5">
        <v>135000</v>
      </c>
      <c r="J183" s="10">
        <v>0.05</v>
      </c>
      <c r="K183" s="7">
        <v>26861.42</v>
      </c>
      <c r="L183" t="b">
        <f t="shared" si="2"/>
        <v>0</v>
      </c>
    </row>
    <row r="184" spans="1:12">
      <c r="A184" s="2">
        <v>100182</v>
      </c>
      <c r="B184" s="14">
        <v>45694</v>
      </c>
      <c r="C184" s="2" t="s">
        <v>119</v>
      </c>
      <c r="D184" s="2" t="s">
        <v>173</v>
      </c>
      <c r="E184" s="2" t="s">
        <v>185</v>
      </c>
      <c r="F184" s="2" t="s">
        <v>189</v>
      </c>
      <c r="G184" s="2" t="s">
        <v>193</v>
      </c>
      <c r="H184" s="2">
        <v>2</v>
      </c>
      <c r="I184" s="5">
        <v>170000</v>
      </c>
      <c r="J184" s="10">
        <v>0.2</v>
      </c>
      <c r="K184" s="7">
        <v>31140.53</v>
      </c>
      <c r="L184" t="b">
        <f t="shared" si="2"/>
        <v>0</v>
      </c>
    </row>
    <row r="185" spans="1:12">
      <c r="A185" s="2">
        <v>100183</v>
      </c>
      <c r="B185" s="14">
        <v>46006</v>
      </c>
      <c r="C185" s="2" t="s">
        <v>36</v>
      </c>
      <c r="D185" s="2" t="s">
        <v>168</v>
      </c>
      <c r="E185" s="2" t="s">
        <v>181</v>
      </c>
      <c r="F185" s="2" t="s">
        <v>189</v>
      </c>
      <c r="G185" s="2" t="s">
        <v>198</v>
      </c>
      <c r="H185" s="2">
        <v>2</v>
      </c>
      <c r="I185" s="5">
        <v>90000</v>
      </c>
      <c r="J185" s="10">
        <v>0.1</v>
      </c>
      <c r="K185" s="7">
        <v>10050.870000000001</v>
      </c>
      <c r="L185" t="b">
        <f t="shared" si="2"/>
        <v>0</v>
      </c>
    </row>
    <row r="186" spans="1:12">
      <c r="A186" s="2">
        <v>100184</v>
      </c>
      <c r="B186" s="14">
        <v>45759</v>
      </c>
      <c r="C186" s="2" t="s">
        <v>60</v>
      </c>
      <c r="D186" s="2" t="s">
        <v>174</v>
      </c>
      <c r="E186" s="2" t="s">
        <v>187</v>
      </c>
      <c r="F186" s="2" t="s">
        <v>190</v>
      </c>
      <c r="G186" s="2" t="s">
        <v>195</v>
      </c>
      <c r="H186" s="2">
        <v>2</v>
      </c>
      <c r="I186" s="5">
        <v>1600</v>
      </c>
      <c r="J186" s="10">
        <v>0.05</v>
      </c>
      <c r="K186" s="7">
        <v>361.44</v>
      </c>
      <c r="L186" t="b">
        <f t="shared" si="2"/>
        <v>0</v>
      </c>
    </row>
    <row r="187" spans="1:12">
      <c r="A187" s="2">
        <v>100185</v>
      </c>
      <c r="B187" s="14">
        <v>45851</v>
      </c>
      <c r="C187" s="2" t="s">
        <v>120</v>
      </c>
      <c r="D187" s="2" t="s">
        <v>175</v>
      </c>
      <c r="E187" s="2" t="s">
        <v>188</v>
      </c>
      <c r="F187" s="2" t="s">
        <v>192</v>
      </c>
      <c r="G187" s="2" t="s">
        <v>207</v>
      </c>
      <c r="H187" s="2">
        <v>1</v>
      </c>
      <c r="I187" s="5">
        <v>1800</v>
      </c>
      <c r="J187" s="10">
        <v>0.15</v>
      </c>
      <c r="K187" s="7">
        <v>358.16</v>
      </c>
      <c r="L187" t="b">
        <f t="shared" si="2"/>
        <v>0</v>
      </c>
    </row>
    <row r="188" spans="1:12">
      <c r="A188" s="2">
        <v>100186</v>
      </c>
      <c r="B188" s="14">
        <v>45819</v>
      </c>
      <c r="C188" s="2" t="s">
        <v>121</v>
      </c>
      <c r="D188" s="2" t="s">
        <v>170</v>
      </c>
      <c r="E188" s="2" t="s">
        <v>181</v>
      </c>
      <c r="F188" s="2" t="s">
        <v>191</v>
      </c>
      <c r="G188" s="2" t="s">
        <v>209</v>
      </c>
      <c r="H188" s="2">
        <v>2</v>
      </c>
      <c r="I188" s="5">
        <v>52000</v>
      </c>
      <c r="J188" s="10">
        <v>0.1</v>
      </c>
      <c r="K188" s="7">
        <v>10253.89</v>
      </c>
      <c r="L188" t="b">
        <f t="shared" si="2"/>
        <v>0</v>
      </c>
    </row>
    <row r="189" spans="1:12">
      <c r="A189" s="2">
        <v>100187</v>
      </c>
      <c r="B189" s="14">
        <v>45997</v>
      </c>
      <c r="C189" s="2" t="s">
        <v>65</v>
      </c>
      <c r="D189" s="2" t="s">
        <v>178</v>
      </c>
      <c r="E189" s="2" t="s">
        <v>183</v>
      </c>
      <c r="F189" s="2" t="s">
        <v>190</v>
      </c>
      <c r="G189" s="2" t="s">
        <v>204</v>
      </c>
      <c r="H189" s="2">
        <v>4</v>
      </c>
      <c r="I189" s="5">
        <v>2000</v>
      </c>
      <c r="J189" s="10">
        <v>0.15</v>
      </c>
      <c r="K189" s="7">
        <v>252.58</v>
      </c>
      <c r="L189" t="b">
        <f t="shared" si="2"/>
        <v>0</v>
      </c>
    </row>
    <row r="190" spans="1:12">
      <c r="A190" s="2">
        <v>100188</v>
      </c>
      <c r="B190" s="14">
        <v>45865</v>
      </c>
      <c r="C190" s="2" t="s">
        <v>102</v>
      </c>
      <c r="D190" s="2" t="s">
        <v>171</v>
      </c>
      <c r="E190" s="2" t="s">
        <v>184</v>
      </c>
      <c r="F190" s="2" t="s">
        <v>192</v>
      </c>
      <c r="G190" s="2" t="s">
        <v>205</v>
      </c>
      <c r="H190" s="2">
        <v>4</v>
      </c>
      <c r="I190" s="5">
        <v>18000</v>
      </c>
      <c r="J190" s="10">
        <v>0.15</v>
      </c>
      <c r="K190" s="7">
        <v>2980.38</v>
      </c>
      <c r="L190" t="b">
        <f t="shared" si="2"/>
        <v>0</v>
      </c>
    </row>
    <row r="191" spans="1:12">
      <c r="A191" s="2">
        <v>100189</v>
      </c>
      <c r="B191" s="14">
        <v>45826</v>
      </c>
      <c r="C191" s="2" t="s">
        <v>122</v>
      </c>
      <c r="D191" s="2" t="s">
        <v>175</v>
      </c>
      <c r="E191" s="2" t="s">
        <v>186</v>
      </c>
      <c r="F191" s="2" t="s">
        <v>191</v>
      </c>
      <c r="G191" s="2" t="s">
        <v>202</v>
      </c>
      <c r="H191" s="2">
        <v>3</v>
      </c>
      <c r="I191" s="5">
        <v>114000</v>
      </c>
      <c r="J191" s="10">
        <v>0.1</v>
      </c>
      <c r="K191" s="7">
        <v>17216.830000000002</v>
      </c>
      <c r="L191" t="b">
        <f t="shared" si="2"/>
        <v>0</v>
      </c>
    </row>
    <row r="192" spans="1:12">
      <c r="A192" s="2">
        <v>100190</v>
      </c>
      <c r="B192" s="14">
        <v>45936</v>
      </c>
      <c r="C192" s="2" t="s">
        <v>32</v>
      </c>
      <c r="D192" s="2" t="s">
        <v>165</v>
      </c>
      <c r="E192" s="2" t="s">
        <v>184</v>
      </c>
      <c r="F192" s="2" t="s">
        <v>189</v>
      </c>
      <c r="G192" s="2" t="s">
        <v>193</v>
      </c>
      <c r="H192" s="2">
        <v>1</v>
      </c>
      <c r="I192" s="5">
        <v>85000</v>
      </c>
      <c r="J192" s="10">
        <v>0.05</v>
      </c>
      <c r="K192" s="7">
        <v>17447.93</v>
      </c>
      <c r="L192" t="b">
        <f t="shared" si="2"/>
        <v>0</v>
      </c>
    </row>
    <row r="193" spans="1:12">
      <c r="A193" s="2">
        <v>100191</v>
      </c>
      <c r="B193" s="14">
        <v>45903</v>
      </c>
      <c r="C193" s="2" t="s">
        <v>47</v>
      </c>
      <c r="D193" s="2" t="s">
        <v>174</v>
      </c>
      <c r="E193" s="2" t="s">
        <v>185</v>
      </c>
      <c r="F193" s="2" t="s">
        <v>190</v>
      </c>
      <c r="G193" s="2" t="s">
        <v>204</v>
      </c>
      <c r="H193" s="2">
        <v>1</v>
      </c>
      <c r="I193" s="5">
        <v>500</v>
      </c>
      <c r="J193" s="10">
        <v>0.1</v>
      </c>
      <c r="K193" s="7">
        <v>87.38</v>
      </c>
      <c r="L193" t="b">
        <f t="shared" si="2"/>
        <v>0</v>
      </c>
    </row>
    <row r="194" spans="1:12">
      <c r="A194" s="2">
        <v>100192</v>
      </c>
      <c r="B194" s="14">
        <v>45946</v>
      </c>
      <c r="C194" s="2" t="s">
        <v>123</v>
      </c>
      <c r="D194" s="2" t="s">
        <v>167</v>
      </c>
      <c r="E194" s="2" t="s">
        <v>184</v>
      </c>
      <c r="F194" s="2" t="s">
        <v>192</v>
      </c>
      <c r="G194" s="2" t="s">
        <v>208</v>
      </c>
      <c r="H194" s="2">
        <v>1</v>
      </c>
      <c r="I194" s="5">
        <v>3200</v>
      </c>
      <c r="J194" s="10">
        <v>0.2</v>
      </c>
      <c r="K194" s="7">
        <v>489.7</v>
      </c>
      <c r="L194" t="b">
        <f t="shared" si="2"/>
        <v>0</v>
      </c>
    </row>
    <row r="195" spans="1:12">
      <c r="A195" s="2">
        <v>100193</v>
      </c>
      <c r="B195" s="14">
        <v>45757</v>
      </c>
      <c r="C195" s="2" t="s">
        <v>64</v>
      </c>
      <c r="D195" s="2" t="s">
        <v>171</v>
      </c>
      <c r="E195" s="2" t="s">
        <v>188</v>
      </c>
      <c r="F195" s="2" t="s">
        <v>192</v>
      </c>
      <c r="G195" s="2" t="s">
        <v>208</v>
      </c>
      <c r="H195" s="2">
        <v>3</v>
      </c>
      <c r="I195" s="5">
        <v>9600</v>
      </c>
      <c r="J195" s="10">
        <v>0.05</v>
      </c>
      <c r="K195" s="7">
        <v>1742.88</v>
      </c>
      <c r="L195" t="b">
        <f t="shared" ref="L195:L258" si="3">COUNTIF(A:A, A195) &gt; 1</f>
        <v>0</v>
      </c>
    </row>
    <row r="196" spans="1:12">
      <c r="A196" s="2">
        <v>100194</v>
      </c>
      <c r="B196" s="14">
        <v>45961</v>
      </c>
      <c r="C196" s="2" t="s">
        <v>42</v>
      </c>
      <c r="D196" s="2" t="s">
        <v>168</v>
      </c>
      <c r="E196" s="2" t="s">
        <v>185</v>
      </c>
      <c r="F196" s="2" t="s">
        <v>192</v>
      </c>
      <c r="G196" s="2" t="s">
        <v>203</v>
      </c>
      <c r="H196" s="2">
        <v>3</v>
      </c>
      <c r="I196" s="5">
        <v>6000</v>
      </c>
      <c r="J196" s="10">
        <v>0.05</v>
      </c>
      <c r="K196" s="7">
        <v>899.74</v>
      </c>
      <c r="L196" t="b">
        <f t="shared" si="3"/>
        <v>0</v>
      </c>
    </row>
    <row r="197" spans="1:12">
      <c r="A197" s="2">
        <v>100195</v>
      </c>
      <c r="B197" s="14">
        <v>45792</v>
      </c>
      <c r="C197" s="2" t="s">
        <v>124</v>
      </c>
      <c r="D197" s="2" t="s">
        <v>165</v>
      </c>
      <c r="E197" s="2" t="s">
        <v>188</v>
      </c>
      <c r="F197" s="2" t="s">
        <v>189</v>
      </c>
      <c r="G197" s="2" t="s">
        <v>196</v>
      </c>
      <c r="H197" s="2">
        <v>4</v>
      </c>
      <c r="I197" s="5">
        <v>220000</v>
      </c>
      <c r="J197" s="10">
        <v>0.2</v>
      </c>
      <c r="K197" s="7">
        <v>22623.1</v>
      </c>
      <c r="L197" t="b">
        <f t="shared" si="3"/>
        <v>0</v>
      </c>
    </row>
    <row r="198" spans="1:12">
      <c r="A198" s="2">
        <v>100196</v>
      </c>
      <c r="B198" s="14">
        <v>45852</v>
      </c>
      <c r="C198" s="2" t="s">
        <v>93</v>
      </c>
      <c r="D198" s="2" t="s">
        <v>177</v>
      </c>
      <c r="E198" s="2" t="s">
        <v>183</v>
      </c>
      <c r="F198" s="2" t="s">
        <v>189</v>
      </c>
      <c r="G198" s="2" t="s">
        <v>193</v>
      </c>
      <c r="H198" s="2">
        <v>2</v>
      </c>
      <c r="I198" s="5">
        <v>170000</v>
      </c>
      <c r="J198" s="10">
        <v>0.1</v>
      </c>
      <c r="K198" s="7">
        <v>27988.29</v>
      </c>
      <c r="L198" t="b">
        <f t="shared" si="3"/>
        <v>0</v>
      </c>
    </row>
    <row r="199" spans="1:12">
      <c r="A199" s="2">
        <v>100197</v>
      </c>
      <c r="B199" s="14">
        <v>45874</v>
      </c>
      <c r="C199" s="2" t="s">
        <v>57</v>
      </c>
      <c r="D199" s="2" t="s">
        <v>173</v>
      </c>
      <c r="E199" s="2" t="s">
        <v>185</v>
      </c>
      <c r="F199" s="2" t="s">
        <v>190</v>
      </c>
      <c r="G199" s="2" t="s">
        <v>204</v>
      </c>
      <c r="H199" s="2">
        <v>3</v>
      </c>
      <c r="I199" s="5">
        <v>1500</v>
      </c>
      <c r="J199" s="10">
        <v>0.2</v>
      </c>
      <c r="K199" s="7">
        <v>153.02000000000001</v>
      </c>
      <c r="L199" t="b">
        <f t="shared" si="3"/>
        <v>0</v>
      </c>
    </row>
    <row r="200" spans="1:12">
      <c r="A200" s="2">
        <v>100198</v>
      </c>
      <c r="B200" s="14">
        <v>45690</v>
      </c>
      <c r="C200" s="2" t="s">
        <v>39</v>
      </c>
      <c r="D200" s="2" t="s">
        <v>174</v>
      </c>
      <c r="E200" s="2" t="s">
        <v>182</v>
      </c>
      <c r="F200" s="2" t="s">
        <v>191</v>
      </c>
      <c r="G200" s="2" t="s">
        <v>209</v>
      </c>
      <c r="H200" s="2">
        <v>1</v>
      </c>
      <c r="I200" s="5">
        <v>26000</v>
      </c>
      <c r="J200" s="10">
        <v>0.15</v>
      </c>
      <c r="K200" s="7">
        <v>4907.8500000000004</v>
      </c>
      <c r="L200" t="b">
        <f t="shared" si="3"/>
        <v>0</v>
      </c>
    </row>
    <row r="201" spans="1:12">
      <c r="A201" s="2">
        <v>100199</v>
      </c>
      <c r="B201" s="14">
        <v>45833</v>
      </c>
      <c r="C201" s="2" t="s">
        <v>75</v>
      </c>
      <c r="D201" s="2" t="s">
        <v>173</v>
      </c>
      <c r="E201" s="2" t="s">
        <v>187</v>
      </c>
      <c r="F201" s="2" t="s">
        <v>192</v>
      </c>
      <c r="G201" s="2" t="s">
        <v>207</v>
      </c>
      <c r="H201" s="2">
        <v>2</v>
      </c>
      <c r="I201" s="5">
        <v>3600</v>
      </c>
      <c r="J201" s="10">
        <v>0.15</v>
      </c>
      <c r="K201" s="7">
        <v>750.19</v>
      </c>
      <c r="L201" t="b">
        <f t="shared" si="3"/>
        <v>0</v>
      </c>
    </row>
    <row r="202" spans="1:12">
      <c r="A202" s="2">
        <v>100200</v>
      </c>
      <c r="B202" s="14">
        <v>45679</v>
      </c>
      <c r="C202" s="2" t="s">
        <v>15</v>
      </c>
      <c r="D202" s="2" t="s">
        <v>167</v>
      </c>
      <c r="E202" s="2" t="s">
        <v>187</v>
      </c>
      <c r="F202" s="2" t="s">
        <v>192</v>
      </c>
      <c r="G202" s="2" t="s">
        <v>205</v>
      </c>
      <c r="H202" s="2">
        <v>1</v>
      </c>
      <c r="I202" s="5">
        <v>4500</v>
      </c>
      <c r="J202" s="10">
        <v>0.05</v>
      </c>
      <c r="K202" s="7">
        <v>638.26</v>
      </c>
      <c r="L202" t="b">
        <f t="shared" si="3"/>
        <v>0</v>
      </c>
    </row>
    <row r="203" spans="1:12">
      <c r="A203" s="2">
        <v>100201</v>
      </c>
      <c r="B203" s="14">
        <v>45895</v>
      </c>
      <c r="C203" s="2" t="s">
        <v>52</v>
      </c>
      <c r="D203" s="2" t="s">
        <v>170</v>
      </c>
      <c r="E203" s="2" t="s">
        <v>188</v>
      </c>
      <c r="F203" s="2" t="s">
        <v>192</v>
      </c>
      <c r="G203" s="2" t="s">
        <v>208</v>
      </c>
      <c r="H203" s="2">
        <v>2</v>
      </c>
      <c r="I203" s="5">
        <v>6400</v>
      </c>
      <c r="J203" s="10">
        <v>0.05</v>
      </c>
      <c r="K203" s="7">
        <v>1221.56</v>
      </c>
      <c r="L203" t="b">
        <f t="shared" si="3"/>
        <v>0</v>
      </c>
    </row>
    <row r="204" spans="1:12">
      <c r="A204" s="2">
        <v>100202</v>
      </c>
      <c r="B204" s="14">
        <v>45844</v>
      </c>
      <c r="C204" s="2" t="s">
        <v>41</v>
      </c>
      <c r="D204" s="2" t="s">
        <v>172</v>
      </c>
      <c r="E204" s="2" t="s">
        <v>184</v>
      </c>
      <c r="F204" s="2" t="s">
        <v>191</v>
      </c>
      <c r="G204" s="2" t="s">
        <v>202</v>
      </c>
      <c r="H204" s="2">
        <v>1</v>
      </c>
      <c r="I204" s="5">
        <v>38000</v>
      </c>
      <c r="J204" s="10">
        <v>0.15</v>
      </c>
      <c r="K204" s="7">
        <v>4493.1000000000004</v>
      </c>
      <c r="L204" t="b">
        <f t="shared" si="3"/>
        <v>0</v>
      </c>
    </row>
    <row r="205" spans="1:12">
      <c r="A205" s="2">
        <v>100203</v>
      </c>
      <c r="B205" s="14">
        <v>45840</v>
      </c>
      <c r="C205" s="2" t="s">
        <v>22</v>
      </c>
      <c r="D205" s="2" t="s">
        <v>168</v>
      </c>
      <c r="E205" s="2" t="s">
        <v>186</v>
      </c>
      <c r="F205" s="2" t="s">
        <v>189</v>
      </c>
      <c r="G205" s="2" t="s">
        <v>198</v>
      </c>
      <c r="H205" s="2">
        <v>3</v>
      </c>
      <c r="I205" s="5">
        <v>135000</v>
      </c>
      <c r="J205" s="10">
        <v>0.15</v>
      </c>
      <c r="K205" s="7">
        <v>23826.34</v>
      </c>
      <c r="L205" t="b">
        <f t="shared" si="3"/>
        <v>0</v>
      </c>
    </row>
    <row r="206" spans="1:12">
      <c r="A206" s="2">
        <v>100204</v>
      </c>
      <c r="B206" s="14">
        <v>45887</v>
      </c>
      <c r="C206" s="2" t="s">
        <v>119</v>
      </c>
      <c r="D206" s="2" t="s">
        <v>173</v>
      </c>
      <c r="E206" s="2" t="s">
        <v>186</v>
      </c>
      <c r="F206" s="2" t="s">
        <v>190</v>
      </c>
      <c r="G206" s="2" t="s">
        <v>201</v>
      </c>
      <c r="H206" s="2">
        <v>1</v>
      </c>
      <c r="I206" s="5">
        <v>1500</v>
      </c>
      <c r="J206" s="10">
        <v>0.15</v>
      </c>
      <c r="K206" s="7">
        <v>305.07</v>
      </c>
      <c r="L206" t="b">
        <f t="shared" si="3"/>
        <v>0</v>
      </c>
    </row>
    <row r="207" spans="1:12">
      <c r="A207" s="2">
        <v>100205</v>
      </c>
      <c r="B207" s="14">
        <v>45708</v>
      </c>
      <c r="C207" s="2" t="s">
        <v>125</v>
      </c>
      <c r="D207" s="2" t="s">
        <v>176</v>
      </c>
      <c r="E207" s="2" t="s">
        <v>182</v>
      </c>
      <c r="F207" s="2" t="s">
        <v>192</v>
      </c>
      <c r="G207" s="2" t="s">
        <v>205</v>
      </c>
      <c r="H207" s="2">
        <v>4</v>
      </c>
      <c r="I207" s="5">
        <v>18000</v>
      </c>
      <c r="J207" s="10">
        <v>0.1</v>
      </c>
      <c r="K207" s="7">
        <v>4030.78</v>
      </c>
      <c r="L207" t="b">
        <f t="shared" si="3"/>
        <v>0</v>
      </c>
    </row>
    <row r="208" spans="1:12">
      <c r="A208" s="2">
        <v>100206</v>
      </c>
      <c r="B208" s="14">
        <v>45921</v>
      </c>
      <c r="C208" s="2" t="s">
        <v>56</v>
      </c>
      <c r="D208" s="2" t="s">
        <v>171</v>
      </c>
      <c r="E208" s="2" t="s">
        <v>185</v>
      </c>
      <c r="F208" s="2" t="s">
        <v>189</v>
      </c>
      <c r="G208" s="2" t="s">
        <v>194</v>
      </c>
      <c r="H208" s="2">
        <v>2</v>
      </c>
      <c r="I208" s="5">
        <v>124000</v>
      </c>
      <c r="J208" s="10">
        <v>0.05</v>
      </c>
      <c r="K208" s="7">
        <v>28387.31</v>
      </c>
      <c r="L208" t="b">
        <f t="shared" si="3"/>
        <v>0</v>
      </c>
    </row>
    <row r="209" spans="1:12">
      <c r="A209" s="2">
        <v>100207</v>
      </c>
      <c r="B209" s="14">
        <v>45940</v>
      </c>
      <c r="C209" s="2" t="s">
        <v>126</v>
      </c>
      <c r="D209" s="2" t="s">
        <v>177</v>
      </c>
      <c r="E209" s="2" t="s">
        <v>182</v>
      </c>
      <c r="F209" s="2" t="s">
        <v>192</v>
      </c>
      <c r="G209" s="2" t="s">
        <v>207</v>
      </c>
      <c r="H209" s="2">
        <v>1</v>
      </c>
      <c r="I209" s="5">
        <v>1800</v>
      </c>
      <c r="J209" s="10">
        <v>0.15</v>
      </c>
      <c r="K209" s="7">
        <v>192.46</v>
      </c>
      <c r="L209" t="b">
        <f t="shared" si="3"/>
        <v>0</v>
      </c>
    </row>
    <row r="210" spans="1:12">
      <c r="A210" s="2">
        <v>100208</v>
      </c>
      <c r="B210" s="14">
        <v>45684</v>
      </c>
      <c r="C210" s="2" t="s">
        <v>127</v>
      </c>
      <c r="D210" s="2" t="s">
        <v>170</v>
      </c>
      <c r="E210" s="2" t="s">
        <v>182</v>
      </c>
      <c r="F210" s="2" t="s">
        <v>189</v>
      </c>
      <c r="G210" s="2" t="s">
        <v>194</v>
      </c>
      <c r="H210" s="2">
        <v>2</v>
      </c>
      <c r="I210" s="5">
        <v>124000</v>
      </c>
      <c r="J210" s="10">
        <v>0.15</v>
      </c>
      <c r="K210" s="7">
        <v>23076.43</v>
      </c>
      <c r="L210" t="b">
        <f t="shared" si="3"/>
        <v>0</v>
      </c>
    </row>
    <row r="211" spans="1:12">
      <c r="A211" s="2">
        <v>100209</v>
      </c>
      <c r="B211" s="14">
        <v>45883</v>
      </c>
      <c r="C211" s="2" t="s">
        <v>42</v>
      </c>
      <c r="D211" s="2" t="s">
        <v>168</v>
      </c>
      <c r="E211" s="2" t="s">
        <v>184</v>
      </c>
      <c r="F211" s="2" t="s">
        <v>192</v>
      </c>
      <c r="G211" s="2" t="s">
        <v>203</v>
      </c>
      <c r="H211" s="2">
        <v>2</v>
      </c>
      <c r="I211" s="5">
        <v>4000</v>
      </c>
      <c r="J211" s="10">
        <v>0.05</v>
      </c>
      <c r="K211" s="7">
        <v>931.38</v>
      </c>
      <c r="L211" t="b">
        <f t="shared" si="3"/>
        <v>0</v>
      </c>
    </row>
    <row r="212" spans="1:12">
      <c r="A212" s="2">
        <v>100210</v>
      </c>
      <c r="B212" s="14">
        <v>45757</v>
      </c>
      <c r="C212" s="2" t="s">
        <v>26</v>
      </c>
      <c r="D212" s="2" t="s">
        <v>166</v>
      </c>
      <c r="E212" s="2" t="s">
        <v>186</v>
      </c>
      <c r="F212" s="2" t="s">
        <v>191</v>
      </c>
      <c r="G212" s="2" t="s">
        <v>197</v>
      </c>
      <c r="H212" s="2">
        <v>2</v>
      </c>
      <c r="I212" s="5">
        <v>116000</v>
      </c>
      <c r="J212" s="10">
        <v>0.1</v>
      </c>
      <c r="K212" s="7">
        <v>22854.32</v>
      </c>
      <c r="L212" t="b">
        <f t="shared" si="3"/>
        <v>0</v>
      </c>
    </row>
    <row r="213" spans="1:12">
      <c r="A213" s="2">
        <v>100211</v>
      </c>
      <c r="B213" s="14">
        <v>45943</v>
      </c>
      <c r="C213" s="2" t="s">
        <v>128</v>
      </c>
      <c r="D213" s="2" t="s">
        <v>168</v>
      </c>
      <c r="E213" s="2" t="s">
        <v>185</v>
      </c>
      <c r="F213" s="2" t="s">
        <v>191</v>
      </c>
      <c r="G213" s="2" t="s">
        <v>197</v>
      </c>
      <c r="H213" s="2">
        <v>2</v>
      </c>
      <c r="I213" s="5">
        <v>116000</v>
      </c>
      <c r="J213" s="10">
        <v>0.05</v>
      </c>
      <c r="K213" s="7">
        <v>19793.87</v>
      </c>
      <c r="L213" t="b">
        <f t="shared" si="3"/>
        <v>0</v>
      </c>
    </row>
    <row r="214" spans="1:12">
      <c r="A214" s="2">
        <v>100212</v>
      </c>
      <c r="B214" s="14">
        <v>45842</v>
      </c>
      <c r="C214" s="2" t="s">
        <v>61</v>
      </c>
      <c r="D214" s="2" t="s">
        <v>178</v>
      </c>
      <c r="E214" s="2" t="s">
        <v>183</v>
      </c>
      <c r="F214" s="2" t="s">
        <v>190</v>
      </c>
      <c r="G214" s="2" t="s">
        <v>199</v>
      </c>
      <c r="H214" s="2">
        <v>2</v>
      </c>
      <c r="I214" s="5">
        <v>3600</v>
      </c>
      <c r="J214" s="10">
        <v>0.05</v>
      </c>
      <c r="K214" s="7">
        <v>624.4</v>
      </c>
      <c r="L214" t="b">
        <f t="shared" si="3"/>
        <v>0</v>
      </c>
    </row>
    <row r="215" spans="1:12">
      <c r="A215" s="2">
        <v>100213</v>
      </c>
      <c r="B215" s="14">
        <v>45971</v>
      </c>
      <c r="C215" s="2" t="s">
        <v>97</v>
      </c>
      <c r="D215" s="2" t="s">
        <v>168</v>
      </c>
      <c r="E215" s="2" t="s">
        <v>184</v>
      </c>
      <c r="F215" s="2" t="s">
        <v>189</v>
      </c>
      <c r="G215" s="2" t="s">
        <v>196</v>
      </c>
      <c r="H215" s="2">
        <v>4</v>
      </c>
      <c r="I215" s="5">
        <v>220000</v>
      </c>
      <c r="J215" s="10">
        <v>0.05</v>
      </c>
      <c r="K215" s="7">
        <v>28802.26</v>
      </c>
      <c r="L215" t="b">
        <f t="shared" si="3"/>
        <v>0</v>
      </c>
    </row>
    <row r="216" spans="1:12">
      <c r="A216" s="2">
        <v>100214</v>
      </c>
      <c r="B216" s="14">
        <v>45974</v>
      </c>
      <c r="C216" s="2" t="s">
        <v>27</v>
      </c>
      <c r="D216" s="2" t="s">
        <v>174</v>
      </c>
      <c r="E216" s="2" t="s">
        <v>182</v>
      </c>
      <c r="F216" s="2" t="s">
        <v>190</v>
      </c>
      <c r="G216" s="2" t="s">
        <v>201</v>
      </c>
      <c r="H216" s="2">
        <v>2</v>
      </c>
      <c r="I216" s="5">
        <v>3000</v>
      </c>
      <c r="J216" s="10">
        <v>0.15</v>
      </c>
      <c r="K216" s="7">
        <v>435.9</v>
      </c>
      <c r="L216" t="b">
        <f t="shared" si="3"/>
        <v>0</v>
      </c>
    </row>
    <row r="217" spans="1:12">
      <c r="A217" s="2">
        <v>100215</v>
      </c>
      <c r="B217" s="14">
        <v>45961</v>
      </c>
      <c r="C217" s="2" t="s">
        <v>44</v>
      </c>
      <c r="D217" s="2" t="s">
        <v>165</v>
      </c>
      <c r="E217" s="2" t="s">
        <v>182</v>
      </c>
      <c r="F217" s="2" t="s">
        <v>192</v>
      </c>
      <c r="G217" s="2" t="s">
        <v>205</v>
      </c>
      <c r="H217" s="2">
        <v>1</v>
      </c>
      <c r="I217" s="5">
        <v>4500</v>
      </c>
      <c r="J217" s="10">
        <v>0.2</v>
      </c>
      <c r="K217" s="7">
        <v>729.9</v>
      </c>
      <c r="L217" t="b">
        <f t="shared" si="3"/>
        <v>0</v>
      </c>
    </row>
    <row r="218" spans="1:12">
      <c r="A218" s="2">
        <v>100216</v>
      </c>
      <c r="B218" s="14">
        <v>45804</v>
      </c>
      <c r="C218" s="2" t="s">
        <v>12</v>
      </c>
      <c r="D218" s="2" t="s">
        <v>165</v>
      </c>
      <c r="E218" s="2" t="s">
        <v>183</v>
      </c>
      <c r="F218" s="2" t="s">
        <v>192</v>
      </c>
      <c r="G218" s="2" t="s">
        <v>207</v>
      </c>
      <c r="H218" s="2">
        <v>4</v>
      </c>
      <c r="I218" s="5">
        <v>7200</v>
      </c>
      <c r="J218" s="10">
        <v>0.2</v>
      </c>
      <c r="K218" s="7">
        <v>1404.82</v>
      </c>
      <c r="L218" t="b">
        <f t="shared" si="3"/>
        <v>0</v>
      </c>
    </row>
    <row r="219" spans="1:12">
      <c r="A219" s="2">
        <v>100217</v>
      </c>
      <c r="B219" s="14">
        <v>45748</v>
      </c>
      <c r="C219" s="2" t="s">
        <v>11</v>
      </c>
      <c r="D219" s="2" t="s">
        <v>164</v>
      </c>
      <c r="E219" s="2" t="s">
        <v>182</v>
      </c>
      <c r="F219" s="2" t="s">
        <v>191</v>
      </c>
      <c r="G219" s="2" t="s">
        <v>200</v>
      </c>
      <c r="H219" s="2">
        <v>4</v>
      </c>
      <c r="I219" s="5">
        <v>112000</v>
      </c>
      <c r="J219" s="10">
        <v>0.15</v>
      </c>
      <c r="K219" s="7">
        <v>17104.13</v>
      </c>
      <c r="L219" t="b">
        <f t="shared" si="3"/>
        <v>0</v>
      </c>
    </row>
    <row r="220" spans="1:12">
      <c r="A220" s="2">
        <v>100218</v>
      </c>
      <c r="B220" s="14">
        <v>45749</v>
      </c>
      <c r="C220" s="2" t="s">
        <v>13</v>
      </c>
      <c r="D220" s="2" t="s">
        <v>166</v>
      </c>
      <c r="E220" s="2" t="s">
        <v>182</v>
      </c>
      <c r="F220" s="2" t="s">
        <v>191</v>
      </c>
      <c r="G220" s="2" t="s">
        <v>202</v>
      </c>
      <c r="H220" s="2">
        <v>3</v>
      </c>
      <c r="I220" s="5">
        <v>114000</v>
      </c>
      <c r="J220" s="10">
        <v>0.15</v>
      </c>
      <c r="K220" s="7">
        <v>14323.22</v>
      </c>
      <c r="L220" t="b">
        <f t="shared" si="3"/>
        <v>0</v>
      </c>
    </row>
    <row r="221" spans="1:12">
      <c r="A221" s="2">
        <v>100219</v>
      </c>
      <c r="B221" s="14">
        <v>45968</v>
      </c>
      <c r="C221" s="2" t="s">
        <v>45</v>
      </c>
      <c r="D221" s="2" t="s">
        <v>165</v>
      </c>
      <c r="E221" s="2" t="s">
        <v>182</v>
      </c>
      <c r="F221" s="2" t="s">
        <v>191</v>
      </c>
      <c r="G221" s="2" t="s">
        <v>197</v>
      </c>
      <c r="H221" s="2">
        <v>2</v>
      </c>
      <c r="I221" s="5">
        <v>116000</v>
      </c>
      <c r="J221" s="10">
        <v>0.2</v>
      </c>
      <c r="K221" s="7">
        <v>21141.78</v>
      </c>
      <c r="L221" t="b">
        <f t="shared" si="3"/>
        <v>0</v>
      </c>
    </row>
    <row r="222" spans="1:12">
      <c r="A222" s="2">
        <v>100220</v>
      </c>
      <c r="B222" s="14">
        <v>45706</v>
      </c>
      <c r="C222" s="2" t="s">
        <v>50</v>
      </c>
      <c r="D222" s="2" t="s">
        <v>164</v>
      </c>
      <c r="E222" s="2" t="s">
        <v>187</v>
      </c>
      <c r="F222" s="2" t="s">
        <v>189</v>
      </c>
      <c r="G222" s="2" t="s">
        <v>196</v>
      </c>
      <c r="H222" s="2">
        <v>1</v>
      </c>
      <c r="I222" s="5">
        <v>55000</v>
      </c>
      <c r="J222" s="10">
        <v>0.1</v>
      </c>
      <c r="K222" s="7">
        <v>10433.629999999999</v>
      </c>
      <c r="L222" t="b">
        <f t="shared" si="3"/>
        <v>0</v>
      </c>
    </row>
    <row r="223" spans="1:12">
      <c r="A223" s="2">
        <v>100221</v>
      </c>
      <c r="B223" s="14">
        <v>45674</v>
      </c>
      <c r="C223" s="2" t="s">
        <v>18</v>
      </c>
      <c r="D223" s="2" t="s">
        <v>170</v>
      </c>
      <c r="E223" s="2" t="s">
        <v>184</v>
      </c>
      <c r="F223" s="2" t="s">
        <v>190</v>
      </c>
      <c r="G223" s="2" t="s">
        <v>201</v>
      </c>
      <c r="H223" s="2">
        <v>4</v>
      </c>
      <c r="I223" s="5">
        <v>6000</v>
      </c>
      <c r="J223" s="10">
        <v>0.1</v>
      </c>
      <c r="K223" s="7">
        <v>1326.87</v>
      </c>
      <c r="L223" t="b">
        <f t="shared" si="3"/>
        <v>0</v>
      </c>
    </row>
    <row r="224" spans="1:12">
      <c r="A224" s="2">
        <v>100222</v>
      </c>
      <c r="B224" s="14">
        <v>45829</v>
      </c>
      <c r="C224" s="2" t="s">
        <v>46</v>
      </c>
      <c r="D224" s="2" t="s">
        <v>169</v>
      </c>
      <c r="E224" s="2" t="s">
        <v>181</v>
      </c>
      <c r="F224" s="2" t="s">
        <v>192</v>
      </c>
      <c r="G224" s="2" t="s">
        <v>203</v>
      </c>
      <c r="H224" s="2">
        <v>2</v>
      </c>
      <c r="I224" s="5">
        <v>4000</v>
      </c>
      <c r="J224" s="10">
        <v>0.2</v>
      </c>
      <c r="K224" s="7">
        <v>705.61</v>
      </c>
      <c r="L224" t="b">
        <f t="shared" si="3"/>
        <v>0</v>
      </c>
    </row>
    <row r="225" spans="1:12">
      <c r="A225" s="2">
        <v>100223</v>
      </c>
      <c r="B225" s="14">
        <v>45877</v>
      </c>
      <c r="C225" s="2" t="s">
        <v>18</v>
      </c>
      <c r="D225" s="2" t="s">
        <v>170</v>
      </c>
      <c r="E225" s="2" t="s">
        <v>184</v>
      </c>
      <c r="F225" s="2" t="s">
        <v>192</v>
      </c>
      <c r="G225" s="2" t="s">
        <v>208</v>
      </c>
      <c r="H225" s="2">
        <v>2</v>
      </c>
      <c r="I225" s="5">
        <v>6400</v>
      </c>
      <c r="J225" s="10">
        <v>0.05</v>
      </c>
      <c r="K225" s="7">
        <v>1091.79</v>
      </c>
      <c r="L225" t="b">
        <f t="shared" si="3"/>
        <v>0</v>
      </c>
    </row>
    <row r="226" spans="1:12">
      <c r="A226" s="2">
        <v>100224</v>
      </c>
      <c r="B226" s="14">
        <v>45844</v>
      </c>
      <c r="C226" s="2" t="s">
        <v>85</v>
      </c>
      <c r="D226" s="2" t="s">
        <v>166</v>
      </c>
      <c r="E226" s="2" t="s">
        <v>183</v>
      </c>
      <c r="F226" s="2" t="s">
        <v>189</v>
      </c>
      <c r="G226" s="2" t="s">
        <v>196</v>
      </c>
      <c r="H226" s="2">
        <v>4</v>
      </c>
      <c r="I226" s="5">
        <v>220000</v>
      </c>
      <c r="J226" s="10">
        <v>0.2</v>
      </c>
      <c r="K226" s="7">
        <v>38590.69</v>
      </c>
      <c r="L226" t="b">
        <f t="shared" si="3"/>
        <v>0</v>
      </c>
    </row>
    <row r="227" spans="1:12">
      <c r="A227" s="2">
        <v>100225</v>
      </c>
      <c r="B227" s="14">
        <v>45703</v>
      </c>
      <c r="C227" s="2" t="s">
        <v>129</v>
      </c>
      <c r="D227" s="2" t="s">
        <v>169</v>
      </c>
      <c r="E227" s="2" t="s">
        <v>182</v>
      </c>
      <c r="F227" s="2" t="s">
        <v>189</v>
      </c>
      <c r="G227" s="2" t="s">
        <v>198</v>
      </c>
      <c r="H227" s="2">
        <v>1</v>
      </c>
      <c r="I227" s="5">
        <v>45000</v>
      </c>
      <c r="J227" s="10">
        <v>0.05</v>
      </c>
      <c r="K227" s="7">
        <v>5180.2299999999996</v>
      </c>
      <c r="L227" t="b">
        <f t="shared" si="3"/>
        <v>0</v>
      </c>
    </row>
    <row r="228" spans="1:12">
      <c r="A228" s="2">
        <v>100226</v>
      </c>
      <c r="B228" s="14">
        <v>45809</v>
      </c>
      <c r="C228" s="2" t="s">
        <v>97</v>
      </c>
      <c r="D228" s="2" t="s">
        <v>168</v>
      </c>
      <c r="E228" s="2" t="s">
        <v>184</v>
      </c>
      <c r="F228" s="2" t="s">
        <v>189</v>
      </c>
      <c r="G228" s="2" t="s">
        <v>198</v>
      </c>
      <c r="H228" s="2">
        <v>4</v>
      </c>
      <c r="I228" s="5">
        <v>180000</v>
      </c>
      <c r="J228" s="10">
        <v>0.2</v>
      </c>
      <c r="K228" s="7">
        <v>21560.83</v>
      </c>
      <c r="L228" t="b">
        <f t="shared" si="3"/>
        <v>0</v>
      </c>
    </row>
    <row r="229" spans="1:12">
      <c r="A229" s="2">
        <v>100227</v>
      </c>
      <c r="B229" s="14">
        <v>45904</v>
      </c>
      <c r="C229" s="2" t="s">
        <v>119</v>
      </c>
      <c r="D229" s="2" t="s">
        <v>173</v>
      </c>
      <c r="E229" s="2" t="s">
        <v>187</v>
      </c>
      <c r="F229" s="2" t="s">
        <v>190</v>
      </c>
      <c r="G229" s="2" t="s">
        <v>201</v>
      </c>
      <c r="H229" s="2">
        <v>4</v>
      </c>
      <c r="I229" s="5">
        <v>6000</v>
      </c>
      <c r="J229" s="10">
        <v>0.1</v>
      </c>
      <c r="K229" s="7">
        <v>873.81</v>
      </c>
      <c r="L229" t="b">
        <f t="shared" si="3"/>
        <v>0</v>
      </c>
    </row>
    <row r="230" spans="1:12">
      <c r="A230" s="2">
        <v>100228</v>
      </c>
      <c r="B230" s="14">
        <v>45890</v>
      </c>
      <c r="C230" s="2" t="s">
        <v>54</v>
      </c>
      <c r="D230" s="2" t="s">
        <v>170</v>
      </c>
      <c r="E230" s="2" t="s">
        <v>186</v>
      </c>
      <c r="F230" s="2" t="s">
        <v>191</v>
      </c>
      <c r="G230" s="2" t="s">
        <v>202</v>
      </c>
      <c r="H230" s="2">
        <v>4</v>
      </c>
      <c r="I230" s="5">
        <v>152000</v>
      </c>
      <c r="J230" s="10">
        <v>0.2</v>
      </c>
      <c r="K230" s="7">
        <v>16100.07</v>
      </c>
      <c r="L230" t="b">
        <f t="shared" si="3"/>
        <v>0</v>
      </c>
    </row>
    <row r="231" spans="1:12">
      <c r="A231" s="2">
        <v>100229</v>
      </c>
      <c r="B231" s="14">
        <v>45810</v>
      </c>
      <c r="C231" s="2" t="s">
        <v>30</v>
      </c>
      <c r="D231" s="2" t="s">
        <v>165</v>
      </c>
      <c r="E231" s="2" t="s">
        <v>183</v>
      </c>
      <c r="F231" s="2" t="s">
        <v>189</v>
      </c>
      <c r="G231" s="2" t="s">
        <v>196</v>
      </c>
      <c r="H231" s="2">
        <v>1</v>
      </c>
      <c r="I231" s="5">
        <v>55000</v>
      </c>
      <c r="J231" s="10">
        <v>0.05</v>
      </c>
      <c r="K231" s="7">
        <v>9536.4500000000007</v>
      </c>
      <c r="L231" t="b">
        <f t="shared" si="3"/>
        <v>0</v>
      </c>
    </row>
    <row r="232" spans="1:12">
      <c r="A232" s="2">
        <v>100230</v>
      </c>
      <c r="B232" s="14">
        <v>45848</v>
      </c>
      <c r="C232" s="2" t="s">
        <v>68</v>
      </c>
      <c r="D232" s="2" t="s">
        <v>175</v>
      </c>
      <c r="E232" s="2" t="s">
        <v>188</v>
      </c>
      <c r="F232" s="2" t="s">
        <v>189</v>
      </c>
      <c r="G232" s="2" t="s">
        <v>193</v>
      </c>
      <c r="H232" s="2">
        <v>2</v>
      </c>
      <c r="I232" s="5">
        <v>170000</v>
      </c>
      <c r="J232" s="10">
        <v>0.2</v>
      </c>
      <c r="K232" s="7">
        <v>21427.49</v>
      </c>
      <c r="L232" t="b">
        <f t="shared" si="3"/>
        <v>0</v>
      </c>
    </row>
    <row r="233" spans="1:12">
      <c r="A233" s="2">
        <v>100231</v>
      </c>
      <c r="B233" s="14">
        <v>46006</v>
      </c>
      <c r="C233" s="2" t="s">
        <v>16</v>
      </c>
      <c r="D233" s="2" t="s">
        <v>168</v>
      </c>
      <c r="E233" s="2" t="s">
        <v>184</v>
      </c>
      <c r="F233" s="2" t="s">
        <v>192</v>
      </c>
      <c r="G233" s="2" t="s">
        <v>208</v>
      </c>
      <c r="H233" s="2">
        <v>3</v>
      </c>
      <c r="I233" s="5">
        <v>9600</v>
      </c>
      <c r="J233" s="10">
        <v>0.1</v>
      </c>
      <c r="K233" s="7">
        <v>2152.42</v>
      </c>
      <c r="L233" t="b">
        <f t="shared" si="3"/>
        <v>0</v>
      </c>
    </row>
    <row r="234" spans="1:12">
      <c r="A234" s="2">
        <v>100232</v>
      </c>
      <c r="B234" s="14">
        <v>45959</v>
      </c>
      <c r="C234" s="2" t="s">
        <v>130</v>
      </c>
      <c r="D234" s="2" t="s">
        <v>164</v>
      </c>
      <c r="E234" s="2" t="s">
        <v>188</v>
      </c>
      <c r="F234" s="2" t="s">
        <v>192</v>
      </c>
      <c r="G234" s="2" t="s">
        <v>203</v>
      </c>
      <c r="H234" s="2">
        <v>1</v>
      </c>
      <c r="I234" s="5">
        <v>2000</v>
      </c>
      <c r="J234" s="10">
        <v>0.15</v>
      </c>
      <c r="K234" s="7">
        <v>286.14999999999998</v>
      </c>
      <c r="L234" t="b">
        <f t="shared" si="3"/>
        <v>0</v>
      </c>
    </row>
    <row r="235" spans="1:12">
      <c r="A235" s="2">
        <v>100233</v>
      </c>
      <c r="B235" s="14">
        <v>45838</v>
      </c>
      <c r="C235" s="2" t="s">
        <v>131</v>
      </c>
      <c r="D235" s="2" t="s">
        <v>175</v>
      </c>
      <c r="E235" s="2" t="s">
        <v>182</v>
      </c>
      <c r="F235" s="2" t="s">
        <v>192</v>
      </c>
      <c r="G235" s="2" t="s">
        <v>207</v>
      </c>
      <c r="H235" s="2">
        <v>1</v>
      </c>
      <c r="I235" s="5">
        <v>1800</v>
      </c>
      <c r="J235" s="10">
        <v>0.1</v>
      </c>
      <c r="K235" s="7">
        <v>387.82</v>
      </c>
      <c r="L235" t="b">
        <f t="shared" si="3"/>
        <v>0</v>
      </c>
    </row>
    <row r="236" spans="1:12">
      <c r="A236" s="2">
        <v>100234</v>
      </c>
      <c r="B236" s="14">
        <v>45781</v>
      </c>
      <c r="C236" s="2" t="s">
        <v>12</v>
      </c>
      <c r="D236" s="2" t="s">
        <v>165</v>
      </c>
      <c r="E236" s="2" t="s">
        <v>187</v>
      </c>
      <c r="F236" s="2" t="s">
        <v>189</v>
      </c>
      <c r="G236" s="2" t="s">
        <v>196</v>
      </c>
      <c r="H236" s="2">
        <v>2</v>
      </c>
      <c r="I236" s="5">
        <v>110000</v>
      </c>
      <c r="J236" s="10">
        <v>0.1</v>
      </c>
      <c r="K236" s="7">
        <v>19885.650000000001</v>
      </c>
      <c r="L236" t="b">
        <f t="shared" si="3"/>
        <v>0</v>
      </c>
    </row>
    <row r="237" spans="1:12">
      <c r="A237" s="2">
        <v>100235</v>
      </c>
      <c r="B237" s="14">
        <v>45904</v>
      </c>
      <c r="C237" s="2" t="s">
        <v>17</v>
      </c>
      <c r="D237" s="2" t="s">
        <v>169</v>
      </c>
      <c r="E237" s="2" t="s">
        <v>187</v>
      </c>
      <c r="F237" s="2" t="s">
        <v>189</v>
      </c>
      <c r="G237" s="2" t="s">
        <v>198</v>
      </c>
      <c r="H237" s="2">
        <v>1</v>
      </c>
      <c r="I237" s="5">
        <v>45000</v>
      </c>
      <c r="J237" s="10">
        <v>0.2</v>
      </c>
      <c r="K237" s="7">
        <v>7005.58</v>
      </c>
      <c r="L237" t="b">
        <f t="shared" si="3"/>
        <v>0</v>
      </c>
    </row>
    <row r="238" spans="1:12">
      <c r="A238" s="2">
        <v>100236</v>
      </c>
      <c r="B238" s="14">
        <v>45845</v>
      </c>
      <c r="C238" s="2" t="s">
        <v>71</v>
      </c>
      <c r="D238" s="2" t="s">
        <v>174</v>
      </c>
      <c r="E238" s="2" t="s">
        <v>184</v>
      </c>
      <c r="F238" s="2" t="s">
        <v>191</v>
      </c>
      <c r="G238" s="2" t="s">
        <v>209</v>
      </c>
      <c r="H238" s="2">
        <v>1</v>
      </c>
      <c r="I238" s="5">
        <v>26000</v>
      </c>
      <c r="J238" s="10">
        <v>0.1</v>
      </c>
      <c r="K238" s="7">
        <v>5552.6</v>
      </c>
      <c r="L238" t="b">
        <f t="shared" si="3"/>
        <v>0</v>
      </c>
    </row>
    <row r="239" spans="1:12">
      <c r="A239" s="2">
        <v>100237</v>
      </c>
      <c r="B239" s="14">
        <v>45773</v>
      </c>
      <c r="C239" s="2" t="s">
        <v>118</v>
      </c>
      <c r="D239" s="2" t="s">
        <v>166</v>
      </c>
      <c r="E239" s="2" t="s">
        <v>183</v>
      </c>
      <c r="F239" s="2" t="s">
        <v>191</v>
      </c>
      <c r="G239" s="2" t="s">
        <v>200</v>
      </c>
      <c r="H239" s="2">
        <v>4</v>
      </c>
      <c r="I239" s="5">
        <v>112000</v>
      </c>
      <c r="J239" s="10">
        <v>0.2</v>
      </c>
      <c r="K239" s="7">
        <v>11072.54</v>
      </c>
      <c r="L239" t="b">
        <f t="shared" si="3"/>
        <v>0</v>
      </c>
    </row>
    <row r="240" spans="1:12">
      <c r="A240" s="2">
        <v>100238</v>
      </c>
      <c r="B240" s="14">
        <v>45937</v>
      </c>
      <c r="C240" s="2" t="s">
        <v>132</v>
      </c>
      <c r="D240" s="2" t="s">
        <v>171</v>
      </c>
      <c r="E240" s="2" t="s">
        <v>183</v>
      </c>
      <c r="F240" s="2" t="s">
        <v>190</v>
      </c>
      <c r="G240" s="2" t="s">
        <v>195</v>
      </c>
      <c r="H240" s="2">
        <v>1</v>
      </c>
      <c r="I240" s="5">
        <v>800</v>
      </c>
      <c r="J240" s="10">
        <v>0.05</v>
      </c>
      <c r="K240" s="7">
        <v>113.8</v>
      </c>
      <c r="L240" t="b">
        <f t="shared" si="3"/>
        <v>0</v>
      </c>
    </row>
    <row r="241" spans="1:12">
      <c r="A241" s="2">
        <v>100239</v>
      </c>
      <c r="B241" s="14">
        <v>45939</v>
      </c>
      <c r="C241" s="2" t="s">
        <v>46</v>
      </c>
      <c r="D241" s="2" t="s">
        <v>169</v>
      </c>
      <c r="E241" s="2" t="s">
        <v>187</v>
      </c>
      <c r="F241" s="2" t="s">
        <v>189</v>
      </c>
      <c r="G241" s="2" t="s">
        <v>206</v>
      </c>
      <c r="H241" s="2">
        <v>2</v>
      </c>
      <c r="I241" s="5">
        <v>100000</v>
      </c>
      <c r="J241" s="10">
        <v>0.1</v>
      </c>
      <c r="K241" s="7">
        <v>18750.73</v>
      </c>
      <c r="L241" t="b">
        <f t="shared" si="3"/>
        <v>0</v>
      </c>
    </row>
    <row r="242" spans="1:12">
      <c r="A242" s="2">
        <v>100240</v>
      </c>
      <c r="B242" s="14">
        <v>45936</v>
      </c>
      <c r="C242" s="2" t="s">
        <v>64</v>
      </c>
      <c r="D242" s="2" t="s">
        <v>171</v>
      </c>
      <c r="E242" s="2" t="s">
        <v>183</v>
      </c>
      <c r="F242" s="2" t="s">
        <v>189</v>
      </c>
      <c r="G242" s="2" t="s">
        <v>193</v>
      </c>
      <c r="H242" s="2">
        <v>4</v>
      </c>
      <c r="I242" s="5">
        <v>340000</v>
      </c>
      <c r="J242" s="10">
        <v>0.05</v>
      </c>
      <c r="K242" s="7">
        <v>68957.52</v>
      </c>
      <c r="L242" t="b">
        <f t="shared" si="3"/>
        <v>0</v>
      </c>
    </row>
    <row r="243" spans="1:12">
      <c r="A243" s="2">
        <v>100241</v>
      </c>
      <c r="B243" s="14">
        <v>45913</v>
      </c>
      <c r="C243" s="2" t="s">
        <v>87</v>
      </c>
      <c r="D243" s="2" t="s">
        <v>174</v>
      </c>
      <c r="E243" s="2" t="s">
        <v>187</v>
      </c>
      <c r="F243" s="2" t="s">
        <v>192</v>
      </c>
      <c r="G243" s="2" t="s">
        <v>208</v>
      </c>
      <c r="H243" s="2">
        <v>1</v>
      </c>
      <c r="I243" s="5">
        <v>3200</v>
      </c>
      <c r="J243" s="10">
        <v>0.15</v>
      </c>
      <c r="K243" s="7">
        <v>441.79</v>
      </c>
      <c r="L243" t="b">
        <f t="shared" si="3"/>
        <v>0</v>
      </c>
    </row>
    <row r="244" spans="1:12">
      <c r="A244" s="2">
        <v>100242</v>
      </c>
      <c r="B244" s="14">
        <v>45980</v>
      </c>
      <c r="C244" s="2" t="s">
        <v>133</v>
      </c>
      <c r="D244" s="2" t="s">
        <v>176</v>
      </c>
      <c r="E244" s="2" t="s">
        <v>184</v>
      </c>
      <c r="F244" s="2" t="s">
        <v>190</v>
      </c>
      <c r="G244" s="2" t="s">
        <v>195</v>
      </c>
      <c r="H244" s="2">
        <v>1</v>
      </c>
      <c r="I244" s="5">
        <v>800</v>
      </c>
      <c r="J244" s="10">
        <v>0.2</v>
      </c>
      <c r="K244" s="7">
        <v>112.58</v>
      </c>
      <c r="L244" t="b">
        <f t="shared" si="3"/>
        <v>0</v>
      </c>
    </row>
    <row r="245" spans="1:12">
      <c r="A245" s="2">
        <v>100243</v>
      </c>
      <c r="B245" s="14">
        <v>45874</v>
      </c>
      <c r="C245" s="2" t="s">
        <v>20</v>
      </c>
      <c r="D245" s="2" t="s">
        <v>171</v>
      </c>
      <c r="E245" s="2" t="s">
        <v>181</v>
      </c>
      <c r="F245" s="2" t="s">
        <v>190</v>
      </c>
      <c r="G245" s="2" t="s">
        <v>195</v>
      </c>
      <c r="H245" s="2">
        <v>2</v>
      </c>
      <c r="I245" s="5">
        <v>1600</v>
      </c>
      <c r="J245" s="10">
        <v>0.2</v>
      </c>
      <c r="K245" s="7">
        <v>220.32</v>
      </c>
      <c r="L245" t="b">
        <f t="shared" si="3"/>
        <v>0</v>
      </c>
    </row>
    <row r="246" spans="1:12">
      <c r="A246" s="2">
        <v>100244</v>
      </c>
      <c r="B246" s="14">
        <v>45675</v>
      </c>
      <c r="C246" s="2" t="s">
        <v>122</v>
      </c>
      <c r="D246" s="2" t="s">
        <v>175</v>
      </c>
      <c r="E246" s="2" t="s">
        <v>187</v>
      </c>
      <c r="F246" s="2" t="s">
        <v>191</v>
      </c>
      <c r="G246" s="2" t="s">
        <v>209</v>
      </c>
      <c r="H246" s="2">
        <v>3</v>
      </c>
      <c r="I246" s="5">
        <v>78000</v>
      </c>
      <c r="J246" s="10">
        <v>0.1</v>
      </c>
      <c r="K246" s="7">
        <v>16535.990000000002</v>
      </c>
      <c r="L246" t="b">
        <f t="shared" si="3"/>
        <v>0</v>
      </c>
    </row>
    <row r="247" spans="1:12">
      <c r="A247" s="2">
        <v>100245</v>
      </c>
      <c r="B247" s="14">
        <v>45879</v>
      </c>
      <c r="C247" s="2" t="s">
        <v>59</v>
      </c>
      <c r="D247" s="2" t="s">
        <v>165</v>
      </c>
      <c r="E247" s="2" t="s">
        <v>188</v>
      </c>
      <c r="F247" s="2" t="s">
        <v>191</v>
      </c>
      <c r="G247" s="2" t="s">
        <v>209</v>
      </c>
      <c r="H247" s="2">
        <v>1</v>
      </c>
      <c r="I247" s="5">
        <v>26000</v>
      </c>
      <c r="J247" s="10">
        <v>0.05</v>
      </c>
      <c r="K247" s="7">
        <v>3783.8</v>
      </c>
      <c r="L247" t="b">
        <f t="shared" si="3"/>
        <v>0</v>
      </c>
    </row>
    <row r="248" spans="1:12">
      <c r="A248" s="2">
        <v>100246</v>
      </c>
      <c r="B248" s="14">
        <v>45969</v>
      </c>
      <c r="C248" s="2" t="s">
        <v>129</v>
      </c>
      <c r="D248" s="2" t="s">
        <v>169</v>
      </c>
      <c r="E248" s="2" t="s">
        <v>183</v>
      </c>
      <c r="F248" s="2" t="s">
        <v>192</v>
      </c>
      <c r="G248" s="2" t="s">
        <v>208</v>
      </c>
      <c r="H248" s="2">
        <v>4</v>
      </c>
      <c r="I248" s="5">
        <v>12800</v>
      </c>
      <c r="J248" s="10">
        <v>0.15</v>
      </c>
      <c r="K248" s="7">
        <v>1352.01</v>
      </c>
      <c r="L248" t="b">
        <f t="shared" si="3"/>
        <v>0</v>
      </c>
    </row>
    <row r="249" spans="1:12">
      <c r="A249" s="2">
        <v>100247</v>
      </c>
      <c r="B249" s="14">
        <v>45711</v>
      </c>
      <c r="C249" s="2" t="s">
        <v>58</v>
      </c>
      <c r="D249" s="2" t="s">
        <v>178</v>
      </c>
      <c r="E249" s="2" t="s">
        <v>187</v>
      </c>
      <c r="F249" s="2" t="s">
        <v>191</v>
      </c>
      <c r="G249" s="2" t="s">
        <v>200</v>
      </c>
      <c r="H249" s="2">
        <v>3</v>
      </c>
      <c r="I249" s="5">
        <v>84000</v>
      </c>
      <c r="J249" s="10">
        <v>0.2</v>
      </c>
      <c r="K249" s="7">
        <v>10643.23</v>
      </c>
      <c r="L249" t="b">
        <f t="shared" si="3"/>
        <v>0</v>
      </c>
    </row>
    <row r="250" spans="1:12">
      <c r="A250" s="2">
        <v>100248</v>
      </c>
      <c r="B250" s="14">
        <v>45715</v>
      </c>
      <c r="C250" s="2" t="s">
        <v>90</v>
      </c>
      <c r="D250" s="2" t="s">
        <v>172</v>
      </c>
      <c r="E250" s="2" t="s">
        <v>187</v>
      </c>
      <c r="F250" s="2" t="s">
        <v>190</v>
      </c>
      <c r="G250" s="2" t="s">
        <v>201</v>
      </c>
      <c r="H250" s="2">
        <v>1</v>
      </c>
      <c r="I250" s="5">
        <v>1500</v>
      </c>
      <c r="J250" s="10">
        <v>0.15</v>
      </c>
      <c r="K250" s="7">
        <v>168.76</v>
      </c>
      <c r="L250" t="b">
        <f t="shared" si="3"/>
        <v>0</v>
      </c>
    </row>
    <row r="251" spans="1:12">
      <c r="A251" s="2">
        <v>100249</v>
      </c>
      <c r="B251" s="14">
        <v>45980</v>
      </c>
      <c r="C251" s="2" t="s">
        <v>66</v>
      </c>
      <c r="D251" s="2" t="s">
        <v>177</v>
      </c>
      <c r="E251" s="2" t="s">
        <v>184</v>
      </c>
      <c r="F251" s="2" t="s">
        <v>190</v>
      </c>
      <c r="G251" s="2" t="s">
        <v>204</v>
      </c>
      <c r="H251" s="2">
        <v>3</v>
      </c>
      <c r="I251" s="5">
        <v>1500</v>
      </c>
      <c r="J251" s="10">
        <v>0.05</v>
      </c>
      <c r="K251" s="7">
        <v>305.63</v>
      </c>
      <c r="L251" t="b">
        <f t="shared" si="3"/>
        <v>0</v>
      </c>
    </row>
    <row r="252" spans="1:12">
      <c r="A252" s="2">
        <v>100250</v>
      </c>
      <c r="B252" s="14">
        <v>46017</v>
      </c>
      <c r="C252" s="2" t="s">
        <v>134</v>
      </c>
      <c r="D252" s="2" t="s">
        <v>175</v>
      </c>
      <c r="E252" s="2" t="s">
        <v>183</v>
      </c>
      <c r="F252" s="2" t="s">
        <v>189</v>
      </c>
      <c r="G252" s="2" t="s">
        <v>194</v>
      </c>
      <c r="H252" s="2">
        <v>4</v>
      </c>
      <c r="I252" s="5">
        <v>248000</v>
      </c>
      <c r="J252" s="10">
        <v>0.15</v>
      </c>
      <c r="K252" s="7">
        <v>39427.129999999997</v>
      </c>
      <c r="L252" t="b">
        <f t="shared" si="3"/>
        <v>0</v>
      </c>
    </row>
    <row r="253" spans="1:12">
      <c r="A253" s="2">
        <v>100251</v>
      </c>
      <c r="B253" s="14">
        <v>45831</v>
      </c>
      <c r="C253" s="2" t="s">
        <v>119</v>
      </c>
      <c r="D253" s="2" t="s">
        <v>173</v>
      </c>
      <c r="E253" s="2" t="s">
        <v>181</v>
      </c>
      <c r="F253" s="2" t="s">
        <v>189</v>
      </c>
      <c r="G253" s="2" t="s">
        <v>193</v>
      </c>
      <c r="H253" s="2">
        <v>4</v>
      </c>
      <c r="I253" s="5">
        <v>340000</v>
      </c>
      <c r="J253" s="10">
        <v>0.2</v>
      </c>
      <c r="K253" s="7">
        <v>47676.07</v>
      </c>
      <c r="L253" t="b">
        <f t="shared" si="3"/>
        <v>0</v>
      </c>
    </row>
    <row r="254" spans="1:12">
      <c r="A254" s="2">
        <v>100252</v>
      </c>
      <c r="B254" s="14">
        <v>45848</v>
      </c>
      <c r="C254" s="2" t="s">
        <v>125</v>
      </c>
      <c r="D254" s="2" t="s">
        <v>176</v>
      </c>
      <c r="E254" s="2" t="s">
        <v>184</v>
      </c>
      <c r="F254" s="2" t="s">
        <v>189</v>
      </c>
      <c r="G254" s="2" t="s">
        <v>193</v>
      </c>
      <c r="H254" s="2">
        <v>2</v>
      </c>
      <c r="I254" s="5">
        <v>170000</v>
      </c>
      <c r="J254" s="10">
        <v>0.05</v>
      </c>
      <c r="K254" s="7">
        <v>19380.240000000002</v>
      </c>
      <c r="L254" t="b">
        <f t="shared" si="3"/>
        <v>0</v>
      </c>
    </row>
    <row r="255" spans="1:12">
      <c r="A255" s="2">
        <v>100253</v>
      </c>
      <c r="B255" s="14">
        <v>45771</v>
      </c>
      <c r="C255" s="2" t="s">
        <v>135</v>
      </c>
      <c r="D255" s="2" t="s">
        <v>177</v>
      </c>
      <c r="E255" s="2" t="s">
        <v>181</v>
      </c>
      <c r="F255" s="2" t="s">
        <v>189</v>
      </c>
      <c r="G255" s="2" t="s">
        <v>198</v>
      </c>
      <c r="H255" s="2">
        <v>2</v>
      </c>
      <c r="I255" s="5">
        <v>90000</v>
      </c>
      <c r="J255" s="10">
        <v>0.1</v>
      </c>
      <c r="K255" s="7">
        <v>10295.299999999999</v>
      </c>
      <c r="L255" t="b">
        <f t="shared" si="3"/>
        <v>0</v>
      </c>
    </row>
    <row r="256" spans="1:12">
      <c r="A256" s="2">
        <v>100254</v>
      </c>
      <c r="B256" s="14">
        <v>45945</v>
      </c>
      <c r="C256" s="2" t="s">
        <v>49</v>
      </c>
      <c r="D256" s="2" t="s">
        <v>173</v>
      </c>
      <c r="E256" s="2" t="s">
        <v>186</v>
      </c>
      <c r="F256" s="2" t="s">
        <v>191</v>
      </c>
      <c r="G256" s="2" t="s">
        <v>209</v>
      </c>
      <c r="H256" s="2">
        <v>3</v>
      </c>
      <c r="I256" s="5">
        <v>78000</v>
      </c>
      <c r="J256" s="10">
        <v>0.15</v>
      </c>
      <c r="K256" s="7">
        <v>10577.89</v>
      </c>
      <c r="L256" t="b">
        <f t="shared" si="3"/>
        <v>0</v>
      </c>
    </row>
    <row r="257" spans="1:12">
      <c r="A257" s="2">
        <v>100255</v>
      </c>
      <c r="B257" s="14">
        <v>45881</v>
      </c>
      <c r="C257" s="2" t="s">
        <v>136</v>
      </c>
      <c r="D257" s="2" t="s">
        <v>165</v>
      </c>
      <c r="E257" s="2" t="s">
        <v>184</v>
      </c>
      <c r="F257" s="2" t="s">
        <v>189</v>
      </c>
      <c r="G257" s="2" t="s">
        <v>198</v>
      </c>
      <c r="H257" s="2">
        <v>3</v>
      </c>
      <c r="I257" s="5">
        <v>135000</v>
      </c>
      <c r="J257" s="10">
        <v>0.2</v>
      </c>
      <c r="K257" s="7">
        <v>12980.69</v>
      </c>
      <c r="L257" t="b">
        <f t="shared" si="3"/>
        <v>0</v>
      </c>
    </row>
    <row r="258" spans="1:12">
      <c r="A258" s="2">
        <v>100256</v>
      </c>
      <c r="B258" s="14">
        <v>45849</v>
      </c>
      <c r="C258" s="2" t="s">
        <v>94</v>
      </c>
      <c r="D258" s="2" t="s">
        <v>179</v>
      </c>
      <c r="E258" s="2" t="s">
        <v>185</v>
      </c>
      <c r="F258" s="2" t="s">
        <v>190</v>
      </c>
      <c r="G258" s="2" t="s">
        <v>199</v>
      </c>
      <c r="H258" s="2">
        <v>1</v>
      </c>
      <c r="I258" s="5">
        <v>2040</v>
      </c>
      <c r="J258" s="10">
        <v>0.15</v>
      </c>
      <c r="K258" s="7">
        <v>352.74</v>
      </c>
      <c r="L258" t="b">
        <f t="shared" si="3"/>
        <v>0</v>
      </c>
    </row>
    <row r="259" spans="1:12">
      <c r="A259" s="2">
        <v>100257</v>
      </c>
      <c r="B259" s="14">
        <v>45843</v>
      </c>
      <c r="C259" s="2" t="s">
        <v>64</v>
      </c>
      <c r="D259" s="2" t="s">
        <v>171</v>
      </c>
      <c r="E259" s="2" t="s">
        <v>185</v>
      </c>
      <c r="F259" s="2" t="s">
        <v>190</v>
      </c>
      <c r="G259" s="2" t="s">
        <v>204</v>
      </c>
      <c r="H259" s="2">
        <v>3</v>
      </c>
      <c r="I259" s="5">
        <v>1500</v>
      </c>
      <c r="J259" s="10">
        <v>0.05</v>
      </c>
      <c r="K259" s="7">
        <v>328.17</v>
      </c>
      <c r="L259" t="b">
        <f t="shared" ref="L259:L322" si="4">COUNTIF(A:A, A259) &gt; 1</f>
        <v>0</v>
      </c>
    </row>
    <row r="260" spans="1:12">
      <c r="A260" s="2">
        <v>100258</v>
      </c>
      <c r="B260" s="14">
        <v>45753</v>
      </c>
      <c r="C260" s="2" t="s">
        <v>19</v>
      </c>
      <c r="D260" s="2" t="s">
        <v>165</v>
      </c>
      <c r="E260" s="2" t="s">
        <v>183</v>
      </c>
      <c r="F260" s="2" t="s">
        <v>190</v>
      </c>
      <c r="G260" s="2" t="s">
        <v>199</v>
      </c>
      <c r="H260" s="2">
        <v>2</v>
      </c>
      <c r="I260" s="5">
        <v>3600</v>
      </c>
      <c r="J260" s="10">
        <v>0.1</v>
      </c>
      <c r="K260" s="7">
        <v>525.80999999999995</v>
      </c>
      <c r="L260" t="b">
        <f t="shared" si="4"/>
        <v>0</v>
      </c>
    </row>
    <row r="261" spans="1:12">
      <c r="A261" s="2">
        <v>100259</v>
      </c>
      <c r="B261" s="14">
        <v>45930</v>
      </c>
      <c r="C261" s="2" t="s">
        <v>52</v>
      </c>
      <c r="D261" s="2" t="s">
        <v>170</v>
      </c>
      <c r="E261" s="2" t="s">
        <v>183</v>
      </c>
      <c r="F261" s="2" t="s">
        <v>189</v>
      </c>
      <c r="G261" s="2" t="s">
        <v>196</v>
      </c>
      <c r="H261" s="2">
        <v>3</v>
      </c>
      <c r="I261" s="5">
        <v>165000</v>
      </c>
      <c r="J261" s="10">
        <v>0.1</v>
      </c>
      <c r="K261" s="7">
        <v>20240.009999999998</v>
      </c>
      <c r="L261" t="b">
        <f t="shared" si="4"/>
        <v>0</v>
      </c>
    </row>
    <row r="262" spans="1:12">
      <c r="A262" s="2">
        <v>100260</v>
      </c>
      <c r="B262" s="14">
        <v>45761</v>
      </c>
      <c r="C262" s="2" t="s">
        <v>54</v>
      </c>
      <c r="D262" s="2" t="s">
        <v>170</v>
      </c>
      <c r="E262" s="2" t="s">
        <v>181</v>
      </c>
      <c r="F262" s="2" t="s">
        <v>192</v>
      </c>
      <c r="G262" s="2" t="s">
        <v>208</v>
      </c>
      <c r="H262" s="2">
        <v>3</v>
      </c>
      <c r="I262" s="5">
        <v>9600</v>
      </c>
      <c r="J262" s="10">
        <v>0.1</v>
      </c>
      <c r="K262" s="7">
        <v>1492.54</v>
      </c>
      <c r="L262" t="b">
        <f t="shared" si="4"/>
        <v>0</v>
      </c>
    </row>
    <row r="263" spans="1:12">
      <c r="A263" s="2">
        <v>100261</v>
      </c>
      <c r="B263" s="14">
        <v>45956</v>
      </c>
      <c r="C263" s="2" t="s">
        <v>24</v>
      </c>
      <c r="D263" s="2" t="s">
        <v>166</v>
      </c>
      <c r="E263" s="2" t="s">
        <v>181</v>
      </c>
      <c r="F263" s="2" t="s">
        <v>192</v>
      </c>
      <c r="G263" s="2" t="s">
        <v>207</v>
      </c>
      <c r="H263" s="2">
        <v>2</v>
      </c>
      <c r="I263" s="5">
        <v>3600</v>
      </c>
      <c r="J263" s="10">
        <v>0.05</v>
      </c>
      <c r="K263" s="7">
        <v>651.58000000000004</v>
      </c>
      <c r="L263" t="b">
        <f t="shared" si="4"/>
        <v>0</v>
      </c>
    </row>
    <row r="264" spans="1:12">
      <c r="A264" s="2">
        <v>100262</v>
      </c>
      <c r="B264" s="14">
        <v>45725</v>
      </c>
      <c r="C264" s="2" t="s">
        <v>125</v>
      </c>
      <c r="D264" s="2" t="s">
        <v>176</v>
      </c>
      <c r="E264" s="2" t="s">
        <v>183</v>
      </c>
      <c r="F264" s="2" t="s">
        <v>192</v>
      </c>
      <c r="G264" s="2" t="s">
        <v>203</v>
      </c>
      <c r="H264" s="2">
        <v>4</v>
      </c>
      <c r="I264" s="5">
        <v>8000</v>
      </c>
      <c r="J264" s="10">
        <v>0.15</v>
      </c>
      <c r="K264" s="7">
        <v>1182.3900000000001</v>
      </c>
      <c r="L264" t="b">
        <f t="shared" si="4"/>
        <v>0</v>
      </c>
    </row>
    <row r="265" spans="1:12">
      <c r="A265" s="2">
        <v>100263</v>
      </c>
      <c r="B265" s="14">
        <v>45833</v>
      </c>
      <c r="C265" s="2" t="s">
        <v>78</v>
      </c>
      <c r="D265" s="2" t="s">
        <v>173</v>
      </c>
      <c r="E265" s="2" t="s">
        <v>183</v>
      </c>
      <c r="F265" s="2" t="s">
        <v>191</v>
      </c>
      <c r="G265" s="2" t="s">
        <v>197</v>
      </c>
      <c r="H265" s="2">
        <v>4</v>
      </c>
      <c r="I265" s="5">
        <v>232000</v>
      </c>
      <c r="J265" s="10">
        <v>0.15</v>
      </c>
      <c r="K265" s="7">
        <v>30560.59</v>
      </c>
      <c r="L265" t="b">
        <f t="shared" si="4"/>
        <v>0</v>
      </c>
    </row>
    <row r="266" spans="1:12">
      <c r="A266" s="2">
        <v>100264</v>
      </c>
      <c r="B266" s="14">
        <v>45871</v>
      </c>
      <c r="C266" s="2" t="s">
        <v>137</v>
      </c>
      <c r="D266" s="2" t="s">
        <v>177</v>
      </c>
      <c r="E266" s="2" t="s">
        <v>183</v>
      </c>
      <c r="F266" s="2" t="s">
        <v>191</v>
      </c>
      <c r="G266" s="2" t="s">
        <v>200</v>
      </c>
      <c r="H266" s="2">
        <v>1</v>
      </c>
      <c r="I266" s="5">
        <v>28000</v>
      </c>
      <c r="J266" s="10">
        <v>0.15</v>
      </c>
      <c r="K266" s="7">
        <v>4800.37</v>
      </c>
      <c r="L266" t="b">
        <f t="shared" si="4"/>
        <v>0</v>
      </c>
    </row>
    <row r="267" spans="1:12">
      <c r="A267" s="2">
        <v>100265</v>
      </c>
      <c r="B267" s="14">
        <v>45827</v>
      </c>
      <c r="C267" s="2" t="s">
        <v>138</v>
      </c>
      <c r="D267" s="2" t="s">
        <v>166</v>
      </c>
      <c r="E267" s="2" t="s">
        <v>181</v>
      </c>
      <c r="F267" s="2" t="s">
        <v>191</v>
      </c>
      <c r="G267" s="2" t="s">
        <v>200</v>
      </c>
      <c r="H267" s="2">
        <v>1</v>
      </c>
      <c r="I267" s="5">
        <v>28000</v>
      </c>
      <c r="J267" s="10">
        <v>0.2</v>
      </c>
      <c r="K267" s="7">
        <v>5452.1</v>
      </c>
      <c r="L267" t="b">
        <f t="shared" si="4"/>
        <v>0</v>
      </c>
    </row>
    <row r="268" spans="1:12">
      <c r="A268" s="2">
        <v>100266</v>
      </c>
      <c r="B268" s="14">
        <v>45756</v>
      </c>
      <c r="C268" s="2" t="s">
        <v>88</v>
      </c>
      <c r="D268" s="2" t="s">
        <v>164</v>
      </c>
      <c r="E268" s="2" t="s">
        <v>183</v>
      </c>
      <c r="F268" s="2" t="s">
        <v>190</v>
      </c>
      <c r="G268" s="2" t="s">
        <v>201</v>
      </c>
      <c r="H268" s="2">
        <v>3</v>
      </c>
      <c r="I268" s="5">
        <v>4500</v>
      </c>
      <c r="J268" s="10">
        <v>0.05</v>
      </c>
      <c r="K268" s="7">
        <v>824.27</v>
      </c>
      <c r="L268" t="b">
        <f t="shared" si="4"/>
        <v>0</v>
      </c>
    </row>
    <row r="269" spans="1:12">
      <c r="A269" s="2">
        <v>100267</v>
      </c>
      <c r="B269" s="14">
        <v>45683</v>
      </c>
      <c r="C269" s="2" t="s">
        <v>50</v>
      </c>
      <c r="D269" s="2" t="s">
        <v>164</v>
      </c>
      <c r="E269" s="2" t="s">
        <v>183</v>
      </c>
      <c r="F269" s="2" t="s">
        <v>189</v>
      </c>
      <c r="G269" s="2" t="s">
        <v>206</v>
      </c>
      <c r="H269" s="2">
        <v>3</v>
      </c>
      <c r="I269" s="5">
        <v>150000</v>
      </c>
      <c r="J269" s="10">
        <v>0.05</v>
      </c>
      <c r="K269" s="7">
        <v>20287.95</v>
      </c>
      <c r="L269" t="b">
        <f t="shared" si="4"/>
        <v>0</v>
      </c>
    </row>
    <row r="270" spans="1:12">
      <c r="A270" s="2">
        <v>100268</v>
      </c>
      <c r="B270" s="14">
        <v>46012</v>
      </c>
      <c r="C270" s="2" t="s">
        <v>71</v>
      </c>
      <c r="D270" s="2" t="s">
        <v>174</v>
      </c>
      <c r="E270" s="2" t="s">
        <v>186</v>
      </c>
      <c r="F270" s="2" t="s">
        <v>189</v>
      </c>
      <c r="G270" s="2" t="s">
        <v>206</v>
      </c>
      <c r="H270" s="2">
        <v>3</v>
      </c>
      <c r="I270" s="5">
        <v>150000</v>
      </c>
      <c r="J270" s="10">
        <v>0.2</v>
      </c>
      <c r="K270" s="7">
        <v>16880.79</v>
      </c>
      <c r="L270" t="b">
        <f t="shared" si="4"/>
        <v>0</v>
      </c>
    </row>
    <row r="271" spans="1:12">
      <c r="A271" s="2">
        <v>100269</v>
      </c>
      <c r="B271" s="14">
        <v>45699</v>
      </c>
      <c r="C271" s="2" t="s">
        <v>74</v>
      </c>
      <c r="D271" s="2" t="s">
        <v>174</v>
      </c>
      <c r="E271" s="2" t="s">
        <v>182</v>
      </c>
      <c r="F271" s="2" t="s">
        <v>190</v>
      </c>
      <c r="G271" s="2" t="s">
        <v>204</v>
      </c>
      <c r="H271" s="2">
        <v>3</v>
      </c>
      <c r="I271" s="5">
        <v>1500</v>
      </c>
      <c r="J271" s="10">
        <v>0.15</v>
      </c>
      <c r="K271" s="7">
        <v>286.18</v>
      </c>
      <c r="L271" t="b">
        <f t="shared" si="4"/>
        <v>0</v>
      </c>
    </row>
    <row r="272" spans="1:12">
      <c r="A272" s="2">
        <v>100270</v>
      </c>
      <c r="B272" s="14">
        <v>45670</v>
      </c>
      <c r="C272" s="2" t="s">
        <v>59</v>
      </c>
      <c r="D272" s="2" t="s">
        <v>165</v>
      </c>
      <c r="E272" s="2" t="s">
        <v>185</v>
      </c>
      <c r="F272" s="2" t="s">
        <v>190</v>
      </c>
      <c r="G272" s="2" t="s">
        <v>195</v>
      </c>
      <c r="H272" s="2">
        <v>2</v>
      </c>
      <c r="I272" s="5">
        <v>1600</v>
      </c>
      <c r="J272" s="10">
        <v>0.15</v>
      </c>
      <c r="K272" s="7">
        <v>313.56</v>
      </c>
      <c r="L272" t="b">
        <f t="shared" si="4"/>
        <v>0</v>
      </c>
    </row>
    <row r="273" spans="1:12">
      <c r="A273" s="2">
        <v>100271</v>
      </c>
      <c r="B273" s="14">
        <v>46002</v>
      </c>
      <c r="C273" s="2" t="s">
        <v>139</v>
      </c>
      <c r="D273" s="2" t="s">
        <v>173</v>
      </c>
      <c r="E273" s="2" t="s">
        <v>188</v>
      </c>
      <c r="F273" s="2" t="s">
        <v>189</v>
      </c>
      <c r="G273" s="2" t="s">
        <v>206</v>
      </c>
      <c r="H273" s="2">
        <v>2</v>
      </c>
      <c r="I273" s="5">
        <v>100000</v>
      </c>
      <c r="J273" s="10">
        <v>0.15</v>
      </c>
      <c r="K273" s="7">
        <v>10773.44</v>
      </c>
      <c r="L273" t="b">
        <f t="shared" si="4"/>
        <v>0</v>
      </c>
    </row>
    <row r="274" spans="1:12">
      <c r="A274" s="2">
        <v>100272</v>
      </c>
      <c r="B274" s="14">
        <v>45911</v>
      </c>
      <c r="C274" s="2" t="s">
        <v>125</v>
      </c>
      <c r="D274" s="2" t="s">
        <v>176</v>
      </c>
      <c r="E274" s="2" t="s">
        <v>185</v>
      </c>
      <c r="F274" s="2" t="s">
        <v>189</v>
      </c>
      <c r="G274" s="2" t="s">
        <v>193</v>
      </c>
      <c r="H274" s="2">
        <v>2</v>
      </c>
      <c r="I274" s="5">
        <v>170000</v>
      </c>
      <c r="J274" s="10">
        <v>0.1</v>
      </c>
      <c r="K274" s="7">
        <v>31589.759999999998</v>
      </c>
      <c r="L274" t="b">
        <f t="shared" si="4"/>
        <v>0</v>
      </c>
    </row>
    <row r="275" spans="1:12">
      <c r="A275" s="2">
        <v>100273</v>
      </c>
      <c r="B275" s="14">
        <v>45779</v>
      </c>
      <c r="C275" s="2" t="s">
        <v>55</v>
      </c>
      <c r="D275" s="2" t="s">
        <v>172</v>
      </c>
      <c r="E275" s="2" t="s">
        <v>182</v>
      </c>
      <c r="F275" s="2" t="s">
        <v>189</v>
      </c>
      <c r="G275" s="2" t="s">
        <v>196</v>
      </c>
      <c r="H275" s="2">
        <v>1</v>
      </c>
      <c r="I275" s="5">
        <v>55000</v>
      </c>
      <c r="J275" s="10">
        <v>0.15</v>
      </c>
      <c r="K275" s="7">
        <v>10257.58</v>
      </c>
      <c r="L275" t="b">
        <f t="shared" si="4"/>
        <v>0</v>
      </c>
    </row>
    <row r="276" spans="1:12">
      <c r="A276" s="2">
        <v>100274</v>
      </c>
      <c r="B276" s="14">
        <v>45830</v>
      </c>
      <c r="C276" s="2" t="s">
        <v>113</v>
      </c>
      <c r="D276" s="2" t="s">
        <v>164</v>
      </c>
      <c r="E276" s="2" t="s">
        <v>188</v>
      </c>
      <c r="F276" s="2" t="s">
        <v>192</v>
      </c>
      <c r="G276" s="2" t="s">
        <v>208</v>
      </c>
      <c r="H276" s="2">
        <v>1</v>
      </c>
      <c r="I276" s="5">
        <v>3200</v>
      </c>
      <c r="J276" s="10">
        <v>0.15</v>
      </c>
      <c r="K276" s="7">
        <v>520.64</v>
      </c>
      <c r="L276" t="b">
        <f t="shared" si="4"/>
        <v>0</v>
      </c>
    </row>
    <row r="277" spans="1:12">
      <c r="A277" s="2">
        <v>100275</v>
      </c>
      <c r="B277" s="14">
        <v>45677</v>
      </c>
      <c r="C277" s="2" t="s">
        <v>118</v>
      </c>
      <c r="D277" s="2" t="s">
        <v>166</v>
      </c>
      <c r="E277" s="2" t="s">
        <v>184</v>
      </c>
      <c r="F277" s="2" t="s">
        <v>189</v>
      </c>
      <c r="G277" s="2" t="s">
        <v>196</v>
      </c>
      <c r="H277" s="2">
        <v>2</v>
      </c>
      <c r="I277" s="5">
        <v>110000</v>
      </c>
      <c r="J277" s="10">
        <v>0.15</v>
      </c>
      <c r="K277" s="7">
        <v>17378.61</v>
      </c>
      <c r="L277" t="b">
        <f t="shared" si="4"/>
        <v>0</v>
      </c>
    </row>
    <row r="278" spans="1:12">
      <c r="A278" s="2">
        <v>100276</v>
      </c>
      <c r="B278" s="14">
        <v>45978</v>
      </c>
      <c r="C278" s="2" t="s">
        <v>13</v>
      </c>
      <c r="D278" s="2" t="s">
        <v>166</v>
      </c>
      <c r="E278" s="2" t="s">
        <v>183</v>
      </c>
      <c r="F278" s="2" t="s">
        <v>192</v>
      </c>
      <c r="G278" s="2" t="s">
        <v>207</v>
      </c>
      <c r="H278" s="2">
        <v>4</v>
      </c>
      <c r="I278" s="5">
        <v>7200</v>
      </c>
      <c r="J278" s="10">
        <v>0.1</v>
      </c>
      <c r="K278" s="7">
        <v>791.13</v>
      </c>
      <c r="L278" t="b">
        <f t="shared" si="4"/>
        <v>0</v>
      </c>
    </row>
    <row r="279" spans="1:12">
      <c r="A279" s="2">
        <v>100277</v>
      </c>
      <c r="B279" s="14">
        <v>45921</v>
      </c>
      <c r="C279" s="2" t="s">
        <v>24</v>
      </c>
      <c r="D279" s="2" t="s">
        <v>166</v>
      </c>
      <c r="E279" s="2" t="s">
        <v>182</v>
      </c>
      <c r="F279" s="2" t="s">
        <v>190</v>
      </c>
      <c r="G279" s="2" t="s">
        <v>204</v>
      </c>
      <c r="H279" s="2">
        <v>3</v>
      </c>
      <c r="I279" s="5">
        <v>1500</v>
      </c>
      <c r="J279" s="10">
        <v>0.2</v>
      </c>
      <c r="K279" s="7">
        <v>268.42</v>
      </c>
      <c r="L279" t="b">
        <f t="shared" si="4"/>
        <v>0</v>
      </c>
    </row>
    <row r="280" spans="1:12">
      <c r="A280" s="2">
        <v>100278</v>
      </c>
      <c r="B280" s="14">
        <v>45799</v>
      </c>
      <c r="C280" s="2" t="s">
        <v>79</v>
      </c>
      <c r="D280" s="2" t="s">
        <v>165</v>
      </c>
      <c r="E280" s="2" t="s">
        <v>186</v>
      </c>
      <c r="F280" s="2" t="s">
        <v>189</v>
      </c>
      <c r="G280" s="2" t="s">
        <v>194</v>
      </c>
      <c r="H280" s="2">
        <v>1</v>
      </c>
      <c r="I280" s="5">
        <v>62000</v>
      </c>
      <c r="J280" s="10">
        <v>0.15</v>
      </c>
      <c r="K280" s="7">
        <v>7933.8</v>
      </c>
      <c r="L280" t="b">
        <f t="shared" si="4"/>
        <v>0</v>
      </c>
    </row>
    <row r="281" spans="1:12">
      <c r="A281" s="2">
        <v>100279</v>
      </c>
      <c r="B281" s="14">
        <v>45800</v>
      </c>
      <c r="C281" s="2" t="s">
        <v>91</v>
      </c>
      <c r="D281" s="2" t="s">
        <v>175</v>
      </c>
      <c r="E281" s="2" t="s">
        <v>184</v>
      </c>
      <c r="F281" s="2" t="s">
        <v>190</v>
      </c>
      <c r="G281" s="2" t="s">
        <v>201</v>
      </c>
      <c r="H281" s="2">
        <v>3</v>
      </c>
      <c r="I281" s="5">
        <v>4500</v>
      </c>
      <c r="J281" s="10">
        <v>0.1</v>
      </c>
      <c r="K281" s="7">
        <v>773.7</v>
      </c>
      <c r="L281" t="b">
        <f t="shared" si="4"/>
        <v>0</v>
      </c>
    </row>
    <row r="282" spans="1:12">
      <c r="A282" s="2">
        <v>100280</v>
      </c>
      <c r="B282" s="14">
        <v>45692</v>
      </c>
      <c r="C282" s="2" t="s">
        <v>140</v>
      </c>
      <c r="D282" s="2" t="s">
        <v>164</v>
      </c>
      <c r="E282" s="2" t="s">
        <v>183</v>
      </c>
      <c r="F282" s="2" t="s">
        <v>189</v>
      </c>
      <c r="G282" s="2" t="s">
        <v>196</v>
      </c>
      <c r="H282" s="2">
        <v>1</v>
      </c>
      <c r="I282" s="5">
        <v>55000</v>
      </c>
      <c r="J282" s="10">
        <v>0.05</v>
      </c>
      <c r="K282" s="7">
        <v>8367.76</v>
      </c>
      <c r="L282" t="b">
        <f t="shared" si="4"/>
        <v>0</v>
      </c>
    </row>
    <row r="283" spans="1:12">
      <c r="A283" s="2">
        <v>100281</v>
      </c>
      <c r="B283" s="14">
        <v>46011</v>
      </c>
      <c r="C283" s="2" t="s">
        <v>127</v>
      </c>
      <c r="D283" s="2" t="s">
        <v>170</v>
      </c>
      <c r="E283" s="2" t="s">
        <v>181</v>
      </c>
      <c r="F283" s="2" t="s">
        <v>192</v>
      </c>
      <c r="G283" s="2" t="s">
        <v>205</v>
      </c>
      <c r="H283" s="2">
        <v>4</v>
      </c>
      <c r="I283" s="5">
        <v>18000</v>
      </c>
      <c r="J283" s="10">
        <v>0.05</v>
      </c>
      <c r="K283" s="7">
        <v>4189.4399999999996</v>
      </c>
      <c r="L283" t="b">
        <f t="shared" si="4"/>
        <v>0</v>
      </c>
    </row>
    <row r="284" spans="1:12">
      <c r="A284" s="2">
        <v>100282</v>
      </c>
      <c r="B284" s="14">
        <v>45979</v>
      </c>
      <c r="C284" s="2" t="s">
        <v>13</v>
      </c>
      <c r="D284" s="2" t="s">
        <v>166</v>
      </c>
      <c r="E284" s="2" t="s">
        <v>187</v>
      </c>
      <c r="F284" s="2" t="s">
        <v>191</v>
      </c>
      <c r="G284" s="2" t="s">
        <v>202</v>
      </c>
      <c r="H284" s="2">
        <v>3</v>
      </c>
      <c r="I284" s="5">
        <v>114000</v>
      </c>
      <c r="J284" s="10">
        <v>0.2</v>
      </c>
      <c r="K284" s="7">
        <v>13632.08</v>
      </c>
      <c r="L284" t="b">
        <f t="shared" si="4"/>
        <v>0</v>
      </c>
    </row>
    <row r="285" spans="1:12">
      <c r="A285" s="2">
        <v>100283</v>
      </c>
      <c r="B285" s="14">
        <v>45945</v>
      </c>
      <c r="C285" s="2" t="s">
        <v>75</v>
      </c>
      <c r="D285" s="2" t="s">
        <v>173</v>
      </c>
      <c r="E285" s="2" t="s">
        <v>182</v>
      </c>
      <c r="F285" s="2" t="s">
        <v>190</v>
      </c>
      <c r="G285" s="2" t="s">
        <v>199</v>
      </c>
      <c r="H285" s="2">
        <v>1</v>
      </c>
      <c r="I285" s="5">
        <v>1800</v>
      </c>
      <c r="J285" s="10">
        <v>0.2</v>
      </c>
      <c r="K285" s="7">
        <v>299.56</v>
      </c>
      <c r="L285" t="b">
        <f t="shared" si="4"/>
        <v>0</v>
      </c>
    </row>
    <row r="286" spans="1:12">
      <c r="A286" s="2">
        <v>100284</v>
      </c>
      <c r="B286" s="14">
        <v>45724</v>
      </c>
      <c r="C286" s="2" t="s">
        <v>62</v>
      </c>
      <c r="D286" s="2" t="s">
        <v>177</v>
      </c>
      <c r="E286" s="2" t="s">
        <v>181</v>
      </c>
      <c r="F286" s="2" t="s">
        <v>192</v>
      </c>
      <c r="G286" s="2" t="s">
        <v>208</v>
      </c>
      <c r="H286" s="2">
        <v>2</v>
      </c>
      <c r="I286" s="5">
        <v>6400</v>
      </c>
      <c r="J286" s="10">
        <v>0.2</v>
      </c>
      <c r="K286" s="7">
        <v>1157.8</v>
      </c>
      <c r="L286" t="b">
        <f t="shared" si="4"/>
        <v>0</v>
      </c>
    </row>
    <row r="287" spans="1:12">
      <c r="A287" s="2">
        <v>100285</v>
      </c>
      <c r="B287" s="14">
        <v>45881</v>
      </c>
      <c r="C287" s="2" t="s">
        <v>114</v>
      </c>
      <c r="D287" s="2" t="s">
        <v>169</v>
      </c>
      <c r="E287" s="2" t="s">
        <v>182</v>
      </c>
      <c r="F287" s="2" t="s">
        <v>189</v>
      </c>
      <c r="G287" s="2" t="s">
        <v>193</v>
      </c>
      <c r="H287" s="2">
        <v>4</v>
      </c>
      <c r="I287" s="5">
        <v>340000</v>
      </c>
      <c r="J287" s="10">
        <v>0.15</v>
      </c>
      <c r="K287" s="7">
        <v>46434.27</v>
      </c>
      <c r="L287" t="b">
        <f t="shared" si="4"/>
        <v>0</v>
      </c>
    </row>
    <row r="288" spans="1:12">
      <c r="A288" s="2">
        <v>100286</v>
      </c>
      <c r="B288" s="14">
        <v>45708</v>
      </c>
      <c r="C288" s="2" t="s">
        <v>141</v>
      </c>
      <c r="D288" s="2" t="s">
        <v>178</v>
      </c>
      <c r="E288" s="2" t="s">
        <v>186</v>
      </c>
      <c r="F288" s="2" t="s">
        <v>190</v>
      </c>
      <c r="G288" s="2" t="s">
        <v>195</v>
      </c>
      <c r="H288" s="2">
        <v>2</v>
      </c>
      <c r="I288" s="5">
        <v>1600</v>
      </c>
      <c r="J288" s="10">
        <v>0.2</v>
      </c>
      <c r="K288" s="7">
        <v>316.99</v>
      </c>
      <c r="L288" t="b">
        <f t="shared" si="4"/>
        <v>0</v>
      </c>
    </row>
    <row r="289" spans="1:12">
      <c r="A289" s="2">
        <v>100287</v>
      </c>
      <c r="B289" s="14">
        <v>45694</v>
      </c>
      <c r="C289" s="2" t="s">
        <v>57</v>
      </c>
      <c r="D289" s="2" t="s">
        <v>173</v>
      </c>
      <c r="E289" s="2" t="s">
        <v>182</v>
      </c>
      <c r="F289" s="2" t="s">
        <v>190</v>
      </c>
      <c r="G289" s="2" t="s">
        <v>199</v>
      </c>
      <c r="H289" s="2">
        <v>4</v>
      </c>
      <c r="I289" s="5">
        <v>7200</v>
      </c>
      <c r="J289" s="10">
        <v>0.2</v>
      </c>
      <c r="K289" s="7">
        <v>813.12</v>
      </c>
      <c r="L289" t="b">
        <f t="shared" si="4"/>
        <v>0</v>
      </c>
    </row>
    <row r="290" spans="1:12">
      <c r="A290" s="2">
        <v>100288</v>
      </c>
      <c r="B290" s="14">
        <v>45784</v>
      </c>
      <c r="C290" s="2" t="s">
        <v>101</v>
      </c>
      <c r="D290" s="2" t="s">
        <v>178</v>
      </c>
      <c r="E290" s="2" t="s">
        <v>181</v>
      </c>
      <c r="F290" s="2" t="s">
        <v>189</v>
      </c>
      <c r="G290" s="2" t="s">
        <v>206</v>
      </c>
      <c r="H290" s="2">
        <v>4</v>
      </c>
      <c r="I290" s="5">
        <v>200000</v>
      </c>
      <c r="J290" s="10">
        <v>0.1</v>
      </c>
      <c r="K290" s="7">
        <v>30741.96</v>
      </c>
      <c r="L290" t="b">
        <f t="shared" si="4"/>
        <v>0</v>
      </c>
    </row>
    <row r="291" spans="1:12">
      <c r="A291" s="2">
        <v>100289</v>
      </c>
      <c r="B291" s="14">
        <v>45750</v>
      </c>
      <c r="C291" s="2" t="s">
        <v>43</v>
      </c>
      <c r="D291" s="2" t="s">
        <v>165</v>
      </c>
      <c r="E291" s="2" t="s">
        <v>186</v>
      </c>
      <c r="F291" s="2" t="s">
        <v>189</v>
      </c>
      <c r="G291" s="2" t="s">
        <v>196</v>
      </c>
      <c r="H291" s="2">
        <v>4</v>
      </c>
      <c r="I291" s="5">
        <v>220000</v>
      </c>
      <c r="J291" s="10">
        <v>0.05</v>
      </c>
      <c r="K291" s="7">
        <v>50483.8</v>
      </c>
      <c r="L291" t="b">
        <f t="shared" si="4"/>
        <v>0</v>
      </c>
    </row>
    <row r="292" spans="1:12">
      <c r="A292" s="2">
        <v>100290</v>
      </c>
      <c r="B292" s="14">
        <v>45907</v>
      </c>
      <c r="C292" s="2" t="s">
        <v>11</v>
      </c>
      <c r="D292" s="2" t="s">
        <v>164</v>
      </c>
      <c r="E292" s="2" t="s">
        <v>188</v>
      </c>
      <c r="F292" s="2" t="s">
        <v>189</v>
      </c>
      <c r="G292" s="2" t="s">
        <v>206</v>
      </c>
      <c r="H292" s="2">
        <v>4</v>
      </c>
      <c r="I292" s="5">
        <v>200000</v>
      </c>
      <c r="J292" s="10">
        <v>0.1</v>
      </c>
      <c r="K292" s="7">
        <v>35768.81</v>
      </c>
      <c r="L292" t="b">
        <f t="shared" si="4"/>
        <v>0</v>
      </c>
    </row>
    <row r="293" spans="1:12">
      <c r="A293" s="2">
        <v>100291</v>
      </c>
      <c r="B293" s="14">
        <v>45782</v>
      </c>
      <c r="C293" s="2" t="s">
        <v>37</v>
      </c>
      <c r="D293" s="2" t="s">
        <v>173</v>
      </c>
      <c r="E293" s="2" t="s">
        <v>185</v>
      </c>
      <c r="F293" s="2" t="s">
        <v>192</v>
      </c>
      <c r="G293" s="2" t="s">
        <v>208</v>
      </c>
      <c r="H293" s="2">
        <v>1</v>
      </c>
      <c r="I293" s="5">
        <v>3200</v>
      </c>
      <c r="J293" s="10">
        <v>0.1</v>
      </c>
      <c r="K293" s="7">
        <v>377.02</v>
      </c>
      <c r="L293" t="b">
        <f t="shared" si="4"/>
        <v>0</v>
      </c>
    </row>
    <row r="294" spans="1:12">
      <c r="A294" s="2">
        <v>100292</v>
      </c>
      <c r="B294" s="14">
        <v>45807</v>
      </c>
      <c r="C294" s="2" t="s">
        <v>113</v>
      </c>
      <c r="D294" s="2" t="s">
        <v>164</v>
      </c>
      <c r="E294" s="2" t="s">
        <v>183</v>
      </c>
      <c r="F294" s="2" t="s">
        <v>189</v>
      </c>
      <c r="G294" s="2" t="s">
        <v>196</v>
      </c>
      <c r="H294" s="2">
        <v>2</v>
      </c>
      <c r="I294" s="5">
        <v>110000</v>
      </c>
      <c r="J294" s="10">
        <v>0.05</v>
      </c>
      <c r="K294" s="7">
        <v>13519.63</v>
      </c>
      <c r="L294" t="b">
        <f t="shared" si="4"/>
        <v>0</v>
      </c>
    </row>
    <row r="295" spans="1:12">
      <c r="A295" s="2">
        <v>100293</v>
      </c>
      <c r="B295" s="14">
        <v>45941</v>
      </c>
      <c r="C295" s="2" t="s">
        <v>106</v>
      </c>
      <c r="D295" s="2" t="s">
        <v>170</v>
      </c>
      <c r="E295" s="2" t="s">
        <v>182</v>
      </c>
      <c r="F295" s="2" t="s">
        <v>191</v>
      </c>
      <c r="G295" s="2" t="s">
        <v>202</v>
      </c>
      <c r="H295" s="2">
        <v>3</v>
      </c>
      <c r="I295" s="5">
        <v>114000</v>
      </c>
      <c r="J295" s="10">
        <v>0.2</v>
      </c>
      <c r="K295" s="7">
        <v>22587.18</v>
      </c>
      <c r="L295" t="b">
        <f t="shared" si="4"/>
        <v>0</v>
      </c>
    </row>
    <row r="296" spans="1:12">
      <c r="A296" s="2">
        <v>100294</v>
      </c>
      <c r="B296" s="14">
        <v>45715</v>
      </c>
      <c r="C296" s="2" t="s">
        <v>142</v>
      </c>
      <c r="D296" s="2" t="s">
        <v>178</v>
      </c>
      <c r="E296" s="2" t="s">
        <v>183</v>
      </c>
      <c r="F296" s="2" t="s">
        <v>192</v>
      </c>
      <c r="G296" s="2" t="s">
        <v>205</v>
      </c>
      <c r="H296" s="2">
        <v>3</v>
      </c>
      <c r="I296" s="5">
        <v>13500</v>
      </c>
      <c r="J296" s="10">
        <v>0.15</v>
      </c>
      <c r="K296" s="7">
        <v>1550.33</v>
      </c>
      <c r="L296" t="b">
        <f t="shared" si="4"/>
        <v>0</v>
      </c>
    </row>
    <row r="297" spans="1:12">
      <c r="A297" s="2">
        <v>100295</v>
      </c>
      <c r="B297" s="14">
        <v>45881</v>
      </c>
      <c r="C297" s="2" t="s">
        <v>121</v>
      </c>
      <c r="D297" s="2" t="s">
        <v>170</v>
      </c>
      <c r="E297" s="2" t="s">
        <v>187</v>
      </c>
      <c r="F297" s="2" t="s">
        <v>190</v>
      </c>
      <c r="G297" s="2" t="s">
        <v>195</v>
      </c>
      <c r="H297" s="2">
        <v>4</v>
      </c>
      <c r="I297" s="5">
        <v>3200</v>
      </c>
      <c r="J297" s="10">
        <v>0.1</v>
      </c>
      <c r="K297" s="7">
        <v>570.65</v>
      </c>
      <c r="L297" t="b">
        <f t="shared" si="4"/>
        <v>0</v>
      </c>
    </row>
    <row r="298" spans="1:12">
      <c r="A298" s="2">
        <v>100296</v>
      </c>
      <c r="B298" s="14">
        <v>45668</v>
      </c>
      <c r="C298" s="2" t="s">
        <v>89</v>
      </c>
      <c r="D298" s="2" t="s">
        <v>166</v>
      </c>
      <c r="E298" s="2" t="s">
        <v>181</v>
      </c>
      <c r="F298" s="2" t="s">
        <v>192</v>
      </c>
      <c r="G298" s="2" t="s">
        <v>203</v>
      </c>
      <c r="H298" s="2">
        <v>4</v>
      </c>
      <c r="I298" s="5">
        <v>8000</v>
      </c>
      <c r="J298" s="10">
        <v>0.1</v>
      </c>
      <c r="K298" s="7">
        <v>1745.03</v>
      </c>
      <c r="L298" t="b">
        <f t="shared" si="4"/>
        <v>0</v>
      </c>
    </row>
    <row r="299" spans="1:12">
      <c r="A299" s="2">
        <v>100297</v>
      </c>
      <c r="B299" s="14">
        <v>45837</v>
      </c>
      <c r="C299" s="2" t="s">
        <v>64</v>
      </c>
      <c r="D299" s="2" t="s">
        <v>171</v>
      </c>
      <c r="E299" s="2" t="s">
        <v>183</v>
      </c>
      <c r="F299" s="2" t="s">
        <v>189</v>
      </c>
      <c r="G299" s="2" t="s">
        <v>206</v>
      </c>
      <c r="H299" s="2">
        <v>4</v>
      </c>
      <c r="I299" s="5">
        <v>200000</v>
      </c>
      <c r="J299" s="10">
        <v>0.1</v>
      </c>
      <c r="K299" s="7">
        <v>32132.73</v>
      </c>
      <c r="L299" t="b">
        <f t="shared" si="4"/>
        <v>0</v>
      </c>
    </row>
    <row r="300" spans="1:12">
      <c r="A300" s="2">
        <v>100298</v>
      </c>
      <c r="B300" s="14">
        <v>45827</v>
      </c>
      <c r="C300" s="2" t="s">
        <v>114</v>
      </c>
      <c r="D300" s="2" t="s">
        <v>169</v>
      </c>
      <c r="E300" s="2" t="s">
        <v>181</v>
      </c>
      <c r="F300" s="2" t="s">
        <v>191</v>
      </c>
      <c r="G300" s="2" t="s">
        <v>200</v>
      </c>
      <c r="H300" s="2">
        <v>2</v>
      </c>
      <c r="I300" s="5">
        <v>56000</v>
      </c>
      <c r="J300" s="10">
        <v>0.1</v>
      </c>
      <c r="K300" s="7">
        <v>9637.09</v>
      </c>
      <c r="L300" t="b">
        <f t="shared" si="4"/>
        <v>0</v>
      </c>
    </row>
    <row r="301" spans="1:12">
      <c r="A301" s="2">
        <v>100299</v>
      </c>
      <c r="B301" s="14">
        <v>45983</v>
      </c>
      <c r="C301" s="2" t="s">
        <v>66</v>
      </c>
      <c r="D301" s="2" t="s">
        <v>177</v>
      </c>
      <c r="E301" s="2" t="s">
        <v>183</v>
      </c>
      <c r="F301" s="2" t="s">
        <v>192</v>
      </c>
      <c r="G301" s="2" t="s">
        <v>205</v>
      </c>
      <c r="H301" s="2">
        <v>1</v>
      </c>
      <c r="I301" s="5">
        <v>4500</v>
      </c>
      <c r="J301" s="10">
        <v>0.05</v>
      </c>
      <c r="K301" s="7">
        <v>618.49</v>
      </c>
      <c r="L301" t="b">
        <f t="shared" si="4"/>
        <v>0</v>
      </c>
    </row>
    <row r="302" spans="1:12">
      <c r="A302" s="2">
        <v>100300</v>
      </c>
      <c r="B302" s="14">
        <v>45928</v>
      </c>
      <c r="C302" s="2" t="s">
        <v>143</v>
      </c>
      <c r="D302" s="2" t="s">
        <v>174</v>
      </c>
      <c r="E302" s="2" t="s">
        <v>185</v>
      </c>
      <c r="F302" s="2" t="s">
        <v>192</v>
      </c>
      <c r="G302" s="2" t="s">
        <v>203</v>
      </c>
      <c r="H302" s="2">
        <v>1</v>
      </c>
      <c r="I302" s="5">
        <v>2000</v>
      </c>
      <c r="J302" s="10">
        <v>0.15</v>
      </c>
      <c r="K302" s="7">
        <v>318.85000000000002</v>
      </c>
      <c r="L302" t="b">
        <f t="shared" si="4"/>
        <v>0</v>
      </c>
    </row>
    <row r="303" spans="1:12">
      <c r="A303" s="2">
        <v>100301</v>
      </c>
      <c r="B303" s="14">
        <v>45711</v>
      </c>
      <c r="C303" s="2" t="s">
        <v>119</v>
      </c>
      <c r="D303" s="2" t="s">
        <v>173</v>
      </c>
      <c r="E303" s="2" t="s">
        <v>185</v>
      </c>
      <c r="F303" s="2" t="s">
        <v>190</v>
      </c>
      <c r="G303" s="2" t="s">
        <v>195</v>
      </c>
      <c r="H303" s="2">
        <v>3</v>
      </c>
      <c r="I303" s="5">
        <v>2400</v>
      </c>
      <c r="J303" s="10">
        <v>0.1</v>
      </c>
      <c r="K303" s="7">
        <v>404.31</v>
      </c>
      <c r="L303" t="b">
        <f t="shared" si="4"/>
        <v>0</v>
      </c>
    </row>
    <row r="304" spans="1:12">
      <c r="A304" s="2">
        <v>100302</v>
      </c>
      <c r="B304" s="14">
        <v>45965</v>
      </c>
      <c r="C304" s="2" t="s">
        <v>90</v>
      </c>
      <c r="D304" s="2" t="s">
        <v>172</v>
      </c>
      <c r="E304" s="2" t="s">
        <v>186</v>
      </c>
      <c r="F304" s="2" t="s">
        <v>190</v>
      </c>
      <c r="G304" s="2" t="s">
        <v>204</v>
      </c>
      <c r="H304" s="2">
        <v>2</v>
      </c>
      <c r="I304" s="5">
        <v>1000</v>
      </c>
      <c r="J304" s="10">
        <v>0.2</v>
      </c>
      <c r="K304" s="7">
        <v>153.16</v>
      </c>
      <c r="L304" t="b">
        <f t="shared" si="4"/>
        <v>0</v>
      </c>
    </row>
    <row r="305" spans="1:12">
      <c r="A305" s="2">
        <v>100303</v>
      </c>
      <c r="B305" s="14">
        <v>45921</v>
      </c>
      <c r="C305" s="2" t="s">
        <v>36</v>
      </c>
      <c r="D305" s="2" t="s">
        <v>168</v>
      </c>
      <c r="E305" s="2" t="s">
        <v>185</v>
      </c>
      <c r="F305" s="2" t="s">
        <v>191</v>
      </c>
      <c r="G305" s="2" t="s">
        <v>197</v>
      </c>
      <c r="H305" s="2">
        <v>2</v>
      </c>
      <c r="I305" s="5">
        <v>116000</v>
      </c>
      <c r="J305" s="10">
        <v>0.15</v>
      </c>
      <c r="K305" s="7">
        <v>19463.32</v>
      </c>
      <c r="L305" t="b">
        <f t="shared" si="4"/>
        <v>0</v>
      </c>
    </row>
    <row r="306" spans="1:12">
      <c r="A306" s="2">
        <v>100304</v>
      </c>
      <c r="B306" s="14">
        <v>45710</v>
      </c>
      <c r="C306" s="2" t="s">
        <v>66</v>
      </c>
      <c r="D306" s="2" t="s">
        <v>177</v>
      </c>
      <c r="E306" s="2" t="s">
        <v>186</v>
      </c>
      <c r="F306" s="2" t="s">
        <v>190</v>
      </c>
      <c r="G306" s="2" t="s">
        <v>201</v>
      </c>
      <c r="H306" s="2">
        <v>3</v>
      </c>
      <c r="I306" s="5">
        <v>4500</v>
      </c>
      <c r="J306" s="10">
        <v>0.1</v>
      </c>
      <c r="K306" s="7">
        <v>521.98</v>
      </c>
      <c r="L306" t="b">
        <f t="shared" si="4"/>
        <v>0</v>
      </c>
    </row>
    <row r="307" spans="1:12">
      <c r="A307" s="2">
        <v>100305</v>
      </c>
      <c r="B307" s="14">
        <v>45660</v>
      </c>
      <c r="C307" s="2" t="s">
        <v>129</v>
      </c>
      <c r="D307" s="2" t="s">
        <v>169</v>
      </c>
      <c r="E307" s="2" t="s">
        <v>185</v>
      </c>
      <c r="F307" s="2" t="s">
        <v>189</v>
      </c>
      <c r="G307" s="2" t="s">
        <v>198</v>
      </c>
      <c r="H307" s="2">
        <v>4</v>
      </c>
      <c r="I307" s="5">
        <v>180000</v>
      </c>
      <c r="J307" s="10">
        <v>0.15</v>
      </c>
      <c r="K307" s="7">
        <v>30764.37</v>
      </c>
      <c r="L307" t="b">
        <f t="shared" si="4"/>
        <v>0</v>
      </c>
    </row>
    <row r="308" spans="1:12">
      <c r="A308" s="2">
        <v>100306</v>
      </c>
      <c r="B308" s="14">
        <v>45765</v>
      </c>
      <c r="C308" s="2" t="s">
        <v>144</v>
      </c>
      <c r="D308" s="2" t="s">
        <v>177</v>
      </c>
      <c r="E308" s="2" t="s">
        <v>185</v>
      </c>
      <c r="F308" s="2" t="s">
        <v>190</v>
      </c>
      <c r="G308" s="2" t="s">
        <v>199</v>
      </c>
      <c r="H308" s="2">
        <v>2</v>
      </c>
      <c r="I308" s="5">
        <v>3600</v>
      </c>
      <c r="J308" s="10">
        <v>0.05</v>
      </c>
      <c r="K308" s="7">
        <v>417.12</v>
      </c>
      <c r="L308" t="b">
        <f t="shared" si="4"/>
        <v>0</v>
      </c>
    </row>
    <row r="309" spans="1:12">
      <c r="A309" s="2">
        <v>100307</v>
      </c>
      <c r="B309" s="14">
        <v>45778</v>
      </c>
      <c r="C309" s="2" t="s">
        <v>35</v>
      </c>
      <c r="D309" s="2" t="s">
        <v>177</v>
      </c>
      <c r="E309" s="2" t="s">
        <v>185</v>
      </c>
      <c r="F309" s="2" t="s">
        <v>190</v>
      </c>
      <c r="G309" s="2" t="s">
        <v>199</v>
      </c>
      <c r="H309" s="2">
        <v>3</v>
      </c>
      <c r="I309" s="5">
        <v>5400</v>
      </c>
      <c r="J309" s="10">
        <v>0.15</v>
      </c>
      <c r="K309" s="7">
        <v>954.18</v>
      </c>
      <c r="L309" t="b">
        <f t="shared" si="4"/>
        <v>0</v>
      </c>
    </row>
    <row r="310" spans="1:12">
      <c r="A310" s="2">
        <v>100308</v>
      </c>
      <c r="B310" s="14">
        <v>45760</v>
      </c>
      <c r="C310" s="2" t="s">
        <v>117</v>
      </c>
      <c r="D310" s="2" t="s">
        <v>174</v>
      </c>
      <c r="E310" s="2" t="s">
        <v>181</v>
      </c>
      <c r="F310" s="2" t="s">
        <v>189</v>
      </c>
      <c r="G310" s="2" t="s">
        <v>206</v>
      </c>
      <c r="H310" s="2">
        <v>3</v>
      </c>
      <c r="I310" s="5">
        <v>150000</v>
      </c>
      <c r="J310" s="10">
        <v>0.2</v>
      </c>
      <c r="K310" s="7">
        <v>18292.580000000002</v>
      </c>
      <c r="L310" t="b">
        <f t="shared" si="4"/>
        <v>0</v>
      </c>
    </row>
    <row r="311" spans="1:12">
      <c r="A311" s="2">
        <v>100309</v>
      </c>
      <c r="B311" s="14">
        <v>45853</v>
      </c>
      <c r="C311" s="2" t="s">
        <v>94</v>
      </c>
      <c r="D311" s="2" t="s">
        <v>175</v>
      </c>
      <c r="E311" s="2" t="s">
        <v>182</v>
      </c>
      <c r="F311" s="2" t="s">
        <v>191</v>
      </c>
      <c r="G311" s="2" t="s">
        <v>200</v>
      </c>
      <c r="H311" s="2">
        <v>4</v>
      </c>
      <c r="I311" s="5">
        <v>112000</v>
      </c>
      <c r="J311" s="10">
        <v>0.05</v>
      </c>
      <c r="K311" s="7">
        <v>14387.26</v>
      </c>
      <c r="L311" t="b">
        <f t="shared" si="4"/>
        <v>0</v>
      </c>
    </row>
    <row r="312" spans="1:12">
      <c r="A312" s="2">
        <v>100310</v>
      </c>
      <c r="B312" s="14">
        <v>45919</v>
      </c>
      <c r="C312" s="2" t="s">
        <v>29</v>
      </c>
      <c r="D312" s="2" t="s">
        <v>169</v>
      </c>
      <c r="E312" s="2" t="s">
        <v>186</v>
      </c>
      <c r="F312" s="2" t="s">
        <v>189</v>
      </c>
      <c r="G312" s="2" t="s">
        <v>194</v>
      </c>
      <c r="H312" s="2">
        <v>1</v>
      </c>
      <c r="I312" s="5">
        <v>62000</v>
      </c>
      <c r="J312" s="10">
        <v>0.15</v>
      </c>
      <c r="K312" s="7">
        <v>7783.85</v>
      </c>
      <c r="L312" t="b">
        <f t="shared" si="4"/>
        <v>0</v>
      </c>
    </row>
    <row r="313" spans="1:12">
      <c r="A313" s="2">
        <v>100311</v>
      </c>
      <c r="B313" s="14">
        <v>46007</v>
      </c>
      <c r="C313" s="2" t="s">
        <v>140</v>
      </c>
      <c r="D313" s="2" t="s">
        <v>164</v>
      </c>
      <c r="E313" s="2" t="s">
        <v>183</v>
      </c>
      <c r="F313" s="2" t="s">
        <v>190</v>
      </c>
      <c r="G313" s="2" t="s">
        <v>204</v>
      </c>
      <c r="H313" s="2">
        <v>1</v>
      </c>
      <c r="I313" s="5">
        <v>500</v>
      </c>
      <c r="J313" s="10">
        <v>0.15</v>
      </c>
      <c r="K313" s="7">
        <v>93.67</v>
      </c>
      <c r="L313" t="b">
        <f t="shared" si="4"/>
        <v>0</v>
      </c>
    </row>
    <row r="314" spans="1:12">
      <c r="A314" s="2">
        <v>100312</v>
      </c>
      <c r="B314" s="14">
        <v>45704</v>
      </c>
      <c r="C314" s="2" t="s">
        <v>66</v>
      </c>
      <c r="D314" s="2" t="s">
        <v>177</v>
      </c>
      <c r="E314" s="2" t="s">
        <v>185</v>
      </c>
      <c r="F314" s="2" t="s">
        <v>192</v>
      </c>
      <c r="G314" s="2" t="s">
        <v>205</v>
      </c>
      <c r="H314" s="2">
        <v>2</v>
      </c>
      <c r="I314" s="5">
        <v>9000</v>
      </c>
      <c r="J314" s="10">
        <v>0.05</v>
      </c>
      <c r="K314" s="7">
        <v>1082.1199999999999</v>
      </c>
      <c r="L314" t="b">
        <f t="shared" si="4"/>
        <v>0</v>
      </c>
    </row>
    <row r="315" spans="1:12">
      <c r="A315" s="2">
        <v>100313</v>
      </c>
      <c r="B315" s="14">
        <v>46012</v>
      </c>
      <c r="C315" s="2" t="s">
        <v>145</v>
      </c>
      <c r="D315" s="2" t="s">
        <v>178</v>
      </c>
      <c r="E315" s="2" t="s">
        <v>181</v>
      </c>
      <c r="F315" s="2" t="s">
        <v>189</v>
      </c>
      <c r="G315" s="2" t="s">
        <v>206</v>
      </c>
      <c r="H315" s="2">
        <v>1</v>
      </c>
      <c r="I315" s="5">
        <v>50000</v>
      </c>
      <c r="J315" s="10">
        <v>0.2</v>
      </c>
      <c r="K315" s="7">
        <v>9668.59</v>
      </c>
      <c r="L315" t="b">
        <f t="shared" si="4"/>
        <v>0</v>
      </c>
    </row>
    <row r="316" spans="1:12">
      <c r="A316" s="2">
        <v>100314</v>
      </c>
      <c r="B316" s="14">
        <v>45849</v>
      </c>
      <c r="C316" s="2" t="s">
        <v>54</v>
      </c>
      <c r="D316" s="2" t="s">
        <v>170</v>
      </c>
      <c r="E316" s="2" t="s">
        <v>181</v>
      </c>
      <c r="F316" s="2" t="s">
        <v>189</v>
      </c>
      <c r="G316" s="2" t="s">
        <v>198</v>
      </c>
      <c r="H316" s="2">
        <v>3</v>
      </c>
      <c r="I316" s="5">
        <v>135000</v>
      </c>
      <c r="J316" s="10">
        <v>0.05</v>
      </c>
      <c r="K316" s="7">
        <v>19066.009999999998</v>
      </c>
      <c r="L316" t="b">
        <f t="shared" si="4"/>
        <v>0</v>
      </c>
    </row>
    <row r="317" spans="1:12">
      <c r="A317" s="2">
        <v>100315</v>
      </c>
      <c r="B317" s="14">
        <v>45758</v>
      </c>
      <c r="C317" s="2" t="s">
        <v>123</v>
      </c>
      <c r="D317" s="2" t="s">
        <v>167</v>
      </c>
      <c r="E317" s="2" t="s">
        <v>181</v>
      </c>
      <c r="F317" s="2" t="s">
        <v>189</v>
      </c>
      <c r="G317" s="2" t="s">
        <v>193</v>
      </c>
      <c r="H317" s="2">
        <v>2</v>
      </c>
      <c r="I317" s="5">
        <v>170000</v>
      </c>
      <c r="J317" s="10">
        <v>0.1</v>
      </c>
      <c r="K317" s="7">
        <v>33066.83</v>
      </c>
      <c r="L317" t="b">
        <f t="shared" si="4"/>
        <v>0</v>
      </c>
    </row>
    <row r="318" spans="1:12">
      <c r="A318" s="2">
        <v>100316</v>
      </c>
      <c r="B318" s="14">
        <v>45801</v>
      </c>
      <c r="C318" s="2" t="s">
        <v>146</v>
      </c>
      <c r="D318" s="2" t="s">
        <v>169</v>
      </c>
      <c r="E318" s="2" t="s">
        <v>186</v>
      </c>
      <c r="F318" s="2" t="s">
        <v>191</v>
      </c>
      <c r="G318" s="2" t="s">
        <v>209</v>
      </c>
      <c r="H318" s="2">
        <v>2</v>
      </c>
      <c r="I318" s="5">
        <v>52000</v>
      </c>
      <c r="J318" s="10">
        <v>0.05</v>
      </c>
      <c r="K318" s="7">
        <v>9126.42</v>
      </c>
      <c r="L318" t="b">
        <f t="shared" si="4"/>
        <v>0</v>
      </c>
    </row>
    <row r="319" spans="1:12">
      <c r="A319" s="2">
        <v>100317</v>
      </c>
      <c r="B319" s="14">
        <v>45926</v>
      </c>
      <c r="C319" s="2" t="s">
        <v>29</v>
      </c>
      <c r="D319" s="2" t="s">
        <v>169</v>
      </c>
      <c r="E319" s="2" t="s">
        <v>182</v>
      </c>
      <c r="F319" s="2" t="s">
        <v>190</v>
      </c>
      <c r="G319" s="2" t="s">
        <v>199</v>
      </c>
      <c r="H319" s="2">
        <v>2</v>
      </c>
      <c r="I319" s="5">
        <v>3600</v>
      </c>
      <c r="J319" s="10">
        <v>0.15</v>
      </c>
      <c r="K319" s="7">
        <v>721.26</v>
      </c>
      <c r="L319" t="b">
        <f t="shared" si="4"/>
        <v>0</v>
      </c>
    </row>
    <row r="320" spans="1:12">
      <c r="A320" s="2">
        <v>100318</v>
      </c>
      <c r="B320" s="14">
        <v>45752</v>
      </c>
      <c r="C320" s="2" t="s">
        <v>83</v>
      </c>
      <c r="D320" s="2" t="s">
        <v>177</v>
      </c>
      <c r="E320" s="2" t="s">
        <v>186</v>
      </c>
      <c r="F320" s="2" t="s">
        <v>189</v>
      </c>
      <c r="G320" s="2" t="s">
        <v>206</v>
      </c>
      <c r="H320" s="2">
        <v>4</v>
      </c>
      <c r="I320" s="5">
        <v>200000</v>
      </c>
      <c r="J320" s="10">
        <v>0.15</v>
      </c>
      <c r="K320" s="7">
        <v>26117.53</v>
      </c>
      <c r="L320" t="b">
        <f t="shared" si="4"/>
        <v>0</v>
      </c>
    </row>
    <row r="321" spans="1:12">
      <c r="A321" s="2">
        <v>100319</v>
      </c>
      <c r="B321" s="14">
        <v>45763</v>
      </c>
      <c r="C321" s="2" t="s">
        <v>99</v>
      </c>
      <c r="D321" s="2" t="s">
        <v>178</v>
      </c>
      <c r="E321" s="2" t="s">
        <v>183</v>
      </c>
      <c r="F321" s="2" t="s">
        <v>189</v>
      </c>
      <c r="G321" s="2" t="s">
        <v>196</v>
      </c>
      <c r="H321" s="2">
        <v>1</v>
      </c>
      <c r="I321" s="5">
        <v>55000</v>
      </c>
      <c r="J321" s="10">
        <v>0.15</v>
      </c>
      <c r="K321" s="7">
        <v>5665.03</v>
      </c>
      <c r="L321" t="b">
        <f t="shared" si="4"/>
        <v>0</v>
      </c>
    </row>
    <row r="322" spans="1:12">
      <c r="A322" s="2">
        <v>100320</v>
      </c>
      <c r="B322" s="14">
        <v>45844</v>
      </c>
      <c r="C322" s="2" t="s">
        <v>77</v>
      </c>
      <c r="D322" s="2" t="s">
        <v>165</v>
      </c>
      <c r="E322" s="2" t="s">
        <v>182</v>
      </c>
      <c r="F322" s="2" t="s">
        <v>192</v>
      </c>
      <c r="G322" s="2" t="s">
        <v>207</v>
      </c>
      <c r="H322" s="2">
        <v>1</v>
      </c>
      <c r="I322" s="5">
        <v>1800</v>
      </c>
      <c r="J322" s="10">
        <v>0.15</v>
      </c>
      <c r="K322" s="7">
        <v>310.44</v>
      </c>
      <c r="L322" t="b">
        <f t="shared" si="4"/>
        <v>0</v>
      </c>
    </row>
    <row r="323" spans="1:12">
      <c r="A323" s="2">
        <v>100321</v>
      </c>
      <c r="B323" s="14">
        <v>45804</v>
      </c>
      <c r="C323" s="2" t="s">
        <v>129</v>
      </c>
      <c r="D323" s="2" t="s">
        <v>169</v>
      </c>
      <c r="E323" s="2" t="s">
        <v>188</v>
      </c>
      <c r="F323" s="2" t="s">
        <v>191</v>
      </c>
      <c r="G323" s="2" t="s">
        <v>197</v>
      </c>
      <c r="H323" s="2">
        <v>4</v>
      </c>
      <c r="I323" s="5">
        <v>232000</v>
      </c>
      <c r="J323" s="10">
        <v>0.05</v>
      </c>
      <c r="K323" s="7">
        <v>29066.55</v>
      </c>
      <c r="L323" t="b">
        <f t="shared" ref="L323:L386" si="5">COUNTIF(A:A, A323) &gt; 1</f>
        <v>0</v>
      </c>
    </row>
    <row r="324" spans="1:12">
      <c r="A324" s="2">
        <v>100322</v>
      </c>
      <c r="B324" s="14">
        <v>45802</v>
      </c>
      <c r="C324" s="2" t="s">
        <v>26</v>
      </c>
      <c r="D324" s="2" t="s">
        <v>166</v>
      </c>
      <c r="E324" s="2" t="s">
        <v>184</v>
      </c>
      <c r="F324" s="2" t="s">
        <v>189</v>
      </c>
      <c r="G324" s="2" t="s">
        <v>193</v>
      </c>
      <c r="H324" s="2">
        <v>3</v>
      </c>
      <c r="I324" s="5">
        <v>255000</v>
      </c>
      <c r="J324" s="10">
        <v>0.15</v>
      </c>
      <c r="K324" s="7">
        <v>46825.37</v>
      </c>
      <c r="L324" t="b">
        <f t="shared" si="5"/>
        <v>0</v>
      </c>
    </row>
    <row r="325" spans="1:12">
      <c r="A325" s="2">
        <v>100323</v>
      </c>
      <c r="B325" s="14">
        <v>45777</v>
      </c>
      <c r="C325" s="2" t="s">
        <v>45</v>
      </c>
      <c r="D325" s="2" t="s">
        <v>165</v>
      </c>
      <c r="E325" s="2" t="s">
        <v>181</v>
      </c>
      <c r="F325" s="2" t="s">
        <v>190</v>
      </c>
      <c r="G325" s="2" t="s">
        <v>204</v>
      </c>
      <c r="H325" s="2">
        <v>3</v>
      </c>
      <c r="I325" s="5">
        <v>1500</v>
      </c>
      <c r="J325" s="10">
        <v>0.05</v>
      </c>
      <c r="K325" s="7">
        <v>210.72</v>
      </c>
      <c r="L325" t="b">
        <f t="shared" si="5"/>
        <v>0</v>
      </c>
    </row>
    <row r="326" spans="1:12">
      <c r="A326" s="2">
        <v>100324</v>
      </c>
      <c r="B326" s="14">
        <v>45976</v>
      </c>
      <c r="C326" s="2" t="s">
        <v>78</v>
      </c>
      <c r="D326" s="2" t="s">
        <v>173</v>
      </c>
      <c r="E326" s="2" t="s">
        <v>186</v>
      </c>
      <c r="F326" s="2" t="s">
        <v>189</v>
      </c>
      <c r="G326" s="2" t="s">
        <v>196</v>
      </c>
      <c r="H326" s="2">
        <v>4</v>
      </c>
      <c r="I326" s="5">
        <v>220000</v>
      </c>
      <c r="J326" s="10">
        <v>0.1</v>
      </c>
      <c r="K326" s="7">
        <v>25369.43</v>
      </c>
      <c r="L326" t="b">
        <f t="shared" si="5"/>
        <v>0</v>
      </c>
    </row>
    <row r="327" spans="1:12">
      <c r="A327" s="2">
        <v>100325</v>
      </c>
      <c r="B327" s="14">
        <v>45698</v>
      </c>
      <c r="C327" s="2" t="s">
        <v>140</v>
      </c>
      <c r="D327" s="2" t="s">
        <v>164</v>
      </c>
      <c r="E327" s="2" t="s">
        <v>188</v>
      </c>
      <c r="F327" s="2" t="s">
        <v>189</v>
      </c>
      <c r="G327" s="2" t="s">
        <v>194</v>
      </c>
      <c r="H327" s="2">
        <v>3</v>
      </c>
      <c r="I327" s="5">
        <v>186000</v>
      </c>
      <c r="J327" s="10">
        <v>0.1</v>
      </c>
      <c r="K327" s="7">
        <v>33291.699999999997</v>
      </c>
      <c r="L327" t="b">
        <f t="shared" si="5"/>
        <v>0</v>
      </c>
    </row>
    <row r="328" spans="1:12">
      <c r="A328" s="2">
        <v>100326</v>
      </c>
      <c r="B328" s="14">
        <v>45692</v>
      </c>
      <c r="C328" s="2" t="s">
        <v>147</v>
      </c>
      <c r="D328" s="2" t="s">
        <v>175</v>
      </c>
      <c r="E328" s="2" t="s">
        <v>187</v>
      </c>
      <c r="F328" s="2" t="s">
        <v>190</v>
      </c>
      <c r="G328" s="2" t="s">
        <v>204</v>
      </c>
      <c r="H328" s="2">
        <v>2</v>
      </c>
      <c r="I328" s="5">
        <v>1000</v>
      </c>
      <c r="J328" s="10">
        <v>0.1</v>
      </c>
      <c r="K328" s="7">
        <v>219.32</v>
      </c>
      <c r="L328" t="b">
        <f t="shared" si="5"/>
        <v>0</v>
      </c>
    </row>
    <row r="329" spans="1:12">
      <c r="A329" s="2">
        <v>100327</v>
      </c>
      <c r="B329" s="14">
        <v>45715</v>
      </c>
      <c r="C329" s="2" t="s">
        <v>91</v>
      </c>
      <c r="D329" s="2" t="s">
        <v>175</v>
      </c>
      <c r="E329" s="2" t="s">
        <v>186</v>
      </c>
      <c r="F329" s="2" t="s">
        <v>191</v>
      </c>
      <c r="G329" s="2" t="s">
        <v>197</v>
      </c>
      <c r="H329" s="2">
        <v>2</v>
      </c>
      <c r="I329" s="5">
        <v>116000</v>
      </c>
      <c r="J329" s="10">
        <v>0.15</v>
      </c>
      <c r="K329" s="7">
        <v>22381.01</v>
      </c>
      <c r="L329" t="b">
        <f t="shared" si="5"/>
        <v>0</v>
      </c>
    </row>
    <row r="330" spans="1:12">
      <c r="A330" s="2">
        <v>100328</v>
      </c>
      <c r="B330" s="14">
        <v>46003</v>
      </c>
      <c r="C330" s="2" t="s">
        <v>89</v>
      </c>
      <c r="D330" s="2" t="s">
        <v>166</v>
      </c>
      <c r="E330" s="2" t="s">
        <v>185</v>
      </c>
      <c r="F330" s="2" t="s">
        <v>190</v>
      </c>
      <c r="G330" s="2" t="s">
        <v>195</v>
      </c>
      <c r="H330" s="2">
        <v>1</v>
      </c>
      <c r="I330" s="5">
        <v>800</v>
      </c>
      <c r="J330" s="10">
        <v>0.2</v>
      </c>
      <c r="K330" s="7">
        <v>93.46</v>
      </c>
      <c r="L330" t="b">
        <f t="shared" si="5"/>
        <v>0</v>
      </c>
    </row>
    <row r="331" spans="1:12">
      <c r="A331" s="2">
        <v>100329</v>
      </c>
      <c r="B331" s="14">
        <v>45886</v>
      </c>
      <c r="C331" s="2" t="s">
        <v>72</v>
      </c>
      <c r="D331" s="2" t="s">
        <v>172</v>
      </c>
      <c r="E331" s="2" t="s">
        <v>184</v>
      </c>
      <c r="F331" s="2" t="s">
        <v>191</v>
      </c>
      <c r="G331" s="2" t="s">
        <v>197</v>
      </c>
      <c r="H331" s="2">
        <v>1</v>
      </c>
      <c r="I331" s="5">
        <v>58000</v>
      </c>
      <c r="J331" s="10">
        <v>0.15</v>
      </c>
      <c r="K331" s="7">
        <v>10645.31</v>
      </c>
      <c r="L331" t="b">
        <f t="shared" si="5"/>
        <v>0</v>
      </c>
    </row>
    <row r="332" spans="1:12">
      <c r="A332" s="2">
        <v>100330</v>
      </c>
      <c r="B332" s="14">
        <v>45774</v>
      </c>
      <c r="C332" s="2" t="s">
        <v>34</v>
      </c>
      <c r="D332" s="2" t="s">
        <v>176</v>
      </c>
      <c r="E332" s="2" t="s">
        <v>185</v>
      </c>
      <c r="F332" s="2" t="s">
        <v>191</v>
      </c>
      <c r="G332" s="2" t="s">
        <v>209</v>
      </c>
      <c r="H332" s="2">
        <v>3</v>
      </c>
      <c r="I332" s="5">
        <v>78000</v>
      </c>
      <c r="J332" s="10">
        <v>0.1</v>
      </c>
      <c r="K332" s="7">
        <v>11810.78</v>
      </c>
      <c r="L332" t="b">
        <f t="shared" si="5"/>
        <v>0</v>
      </c>
    </row>
    <row r="333" spans="1:12">
      <c r="A333" s="2">
        <v>100331</v>
      </c>
      <c r="B333" s="14">
        <v>45975</v>
      </c>
      <c r="C333" s="2" t="s">
        <v>95</v>
      </c>
      <c r="D333" s="2" t="s">
        <v>165</v>
      </c>
      <c r="E333" s="2" t="s">
        <v>182</v>
      </c>
      <c r="F333" s="2" t="s">
        <v>189</v>
      </c>
      <c r="G333" s="2" t="s">
        <v>193</v>
      </c>
      <c r="H333" s="2">
        <v>2</v>
      </c>
      <c r="I333" s="5">
        <v>170000</v>
      </c>
      <c r="J333" s="10">
        <v>0.15</v>
      </c>
      <c r="K333" s="7">
        <v>27452.57</v>
      </c>
      <c r="L333" t="b">
        <f t="shared" si="5"/>
        <v>0</v>
      </c>
    </row>
    <row r="334" spans="1:12">
      <c r="A334" s="2">
        <v>100332</v>
      </c>
      <c r="B334" s="14">
        <v>45818</v>
      </c>
      <c r="C334" s="2" t="s">
        <v>148</v>
      </c>
      <c r="D334" s="2" t="s">
        <v>178</v>
      </c>
      <c r="E334" s="2" t="s">
        <v>184</v>
      </c>
      <c r="F334" s="2" t="s">
        <v>189</v>
      </c>
      <c r="G334" s="2" t="s">
        <v>198</v>
      </c>
      <c r="H334" s="2">
        <v>4</v>
      </c>
      <c r="I334" s="5">
        <v>180000</v>
      </c>
      <c r="J334" s="10">
        <v>0.05</v>
      </c>
      <c r="K334" s="7">
        <v>40423.54</v>
      </c>
      <c r="L334" t="b">
        <f t="shared" si="5"/>
        <v>0</v>
      </c>
    </row>
    <row r="335" spans="1:12">
      <c r="A335" s="2">
        <v>100333</v>
      </c>
      <c r="B335" s="14">
        <v>45843</v>
      </c>
      <c r="C335" s="2" t="s">
        <v>100</v>
      </c>
      <c r="D335" s="2" t="s">
        <v>170</v>
      </c>
      <c r="E335" s="2" t="s">
        <v>186</v>
      </c>
      <c r="F335" s="2" t="s">
        <v>189</v>
      </c>
      <c r="G335" s="2" t="s">
        <v>194</v>
      </c>
      <c r="H335" s="2">
        <v>4</v>
      </c>
      <c r="I335" s="5">
        <v>248000</v>
      </c>
      <c r="J335" s="10">
        <v>0.15</v>
      </c>
      <c r="K335" s="7">
        <v>37746.879999999997</v>
      </c>
      <c r="L335" t="b">
        <f t="shared" si="5"/>
        <v>0</v>
      </c>
    </row>
    <row r="336" spans="1:12">
      <c r="A336" s="2">
        <v>100334</v>
      </c>
      <c r="B336" s="14">
        <v>45905</v>
      </c>
      <c r="C336" s="2" t="s">
        <v>35</v>
      </c>
      <c r="D336" s="2" t="s">
        <v>177</v>
      </c>
      <c r="E336" s="2" t="s">
        <v>183</v>
      </c>
      <c r="F336" s="2" t="s">
        <v>189</v>
      </c>
      <c r="G336" s="2" t="s">
        <v>194</v>
      </c>
      <c r="H336" s="2">
        <v>3</v>
      </c>
      <c r="I336" s="5">
        <v>186000</v>
      </c>
      <c r="J336" s="10">
        <v>0.15</v>
      </c>
      <c r="K336" s="7">
        <v>33471.339999999997</v>
      </c>
      <c r="L336" t="b">
        <f t="shared" si="5"/>
        <v>0</v>
      </c>
    </row>
    <row r="337" spans="1:12">
      <c r="A337" s="2">
        <v>100335</v>
      </c>
      <c r="B337" s="14">
        <v>45715</v>
      </c>
      <c r="C337" s="2" t="s">
        <v>33</v>
      </c>
      <c r="D337" s="2" t="s">
        <v>175</v>
      </c>
      <c r="E337" s="2" t="s">
        <v>188</v>
      </c>
      <c r="F337" s="2" t="s">
        <v>191</v>
      </c>
      <c r="G337" s="2" t="s">
        <v>209</v>
      </c>
      <c r="H337" s="2">
        <v>4</v>
      </c>
      <c r="I337" s="5">
        <v>104000</v>
      </c>
      <c r="J337" s="10">
        <v>0.1</v>
      </c>
      <c r="K337" s="7">
        <v>19132.95</v>
      </c>
      <c r="L337" t="b">
        <f t="shared" si="5"/>
        <v>0</v>
      </c>
    </row>
    <row r="338" spans="1:12">
      <c r="A338" s="2">
        <v>100336</v>
      </c>
      <c r="B338" s="14">
        <v>45693</v>
      </c>
      <c r="C338" s="2" t="s">
        <v>121</v>
      </c>
      <c r="D338" s="2" t="s">
        <v>170</v>
      </c>
      <c r="E338" s="2" t="s">
        <v>183</v>
      </c>
      <c r="F338" s="2" t="s">
        <v>189</v>
      </c>
      <c r="G338" s="2" t="s">
        <v>198</v>
      </c>
      <c r="H338" s="2">
        <v>2</v>
      </c>
      <c r="I338" s="5">
        <v>90000</v>
      </c>
      <c r="J338" s="10">
        <v>0.1</v>
      </c>
      <c r="K338" s="7">
        <v>14985.84</v>
      </c>
      <c r="L338" t="b">
        <f t="shared" si="5"/>
        <v>0</v>
      </c>
    </row>
    <row r="339" spans="1:12">
      <c r="A339" s="2">
        <v>100337</v>
      </c>
      <c r="B339" s="14">
        <v>45658</v>
      </c>
      <c r="C339" s="2" t="s">
        <v>36</v>
      </c>
      <c r="D339" s="2" t="s">
        <v>168</v>
      </c>
      <c r="E339" s="2" t="s">
        <v>186</v>
      </c>
      <c r="F339" s="2" t="s">
        <v>192</v>
      </c>
      <c r="G339" s="2" t="s">
        <v>208</v>
      </c>
      <c r="H339" s="2">
        <v>2</v>
      </c>
      <c r="I339" s="5">
        <v>6400</v>
      </c>
      <c r="J339" s="10">
        <v>0.05</v>
      </c>
      <c r="K339" s="7">
        <v>888.55</v>
      </c>
      <c r="L339" t="b">
        <f t="shared" si="5"/>
        <v>0</v>
      </c>
    </row>
    <row r="340" spans="1:12">
      <c r="A340" s="2">
        <v>100338</v>
      </c>
      <c r="B340" s="14">
        <v>45896</v>
      </c>
      <c r="C340" s="2" t="s">
        <v>132</v>
      </c>
      <c r="D340" s="2" t="s">
        <v>171</v>
      </c>
      <c r="E340" s="2" t="s">
        <v>182</v>
      </c>
      <c r="F340" s="2" t="s">
        <v>191</v>
      </c>
      <c r="G340" s="2" t="s">
        <v>209</v>
      </c>
      <c r="H340" s="2">
        <v>3</v>
      </c>
      <c r="I340" s="5">
        <v>78000</v>
      </c>
      <c r="J340" s="10">
        <v>0.05</v>
      </c>
      <c r="K340" s="7">
        <v>13414.94</v>
      </c>
      <c r="L340" t="b">
        <f t="shared" si="5"/>
        <v>0</v>
      </c>
    </row>
    <row r="341" spans="1:12">
      <c r="A341" s="2">
        <v>100339</v>
      </c>
      <c r="B341" s="14">
        <v>45919</v>
      </c>
      <c r="C341" s="2" t="s">
        <v>149</v>
      </c>
      <c r="D341" s="2" t="s">
        <v>180</v>
      </c>
      <c r="E341" s="2" t="s">
        <v>185</v>
      </c>
      <c r="F341" s="2" t="s">
        <v>191</v>
      </c>
      <c r="G341" s="2" t="s">
        <v>200</v>
      </c>
      <c r="H341" s="2">
        <v>1</v>
      </c>
      <c r="I341" s="5">
        <v>28000</v>
      </c>
      <c r="J341" s="10">
        <v>0.15</v>
      </c>
      <c r="K341" s="7">
        <v>2509.16</v>
      </c>
      <c r="L341" t="b">
        <f t="shared" si="5"/>
        <v>0</v>
      </c>
    </row>
    <row r="342" spans="1:12">
      <c r="A342" s="2">
        <v>100340</v>
      </c>
      <c r="B342" s="14">
        <v>45812</v>
      </c>
      <c r="C342" s="2" t="s">
        <v>70</v>
      </c>
      <c r="D342" s="2" t="s">
        <v>166</v>
      </c>
      <c r="E342" s="2" t="s">
        <v>184</v>
      </c>
      <c r="F342" s="2" t="s">
        <v>190</v>
      </c>
      <c r="G342" s="2" t="s">
        <v>199</v>
      </c>
      <c r="H342" s="2">
        <v>2</v>
      </c>
      <c r="I342" s="5">
        <v>3600</v>
      </c>
      <c r="J342" s="10">
        <v>0.1</v>
      </c>
      <c r="K342" s="7">
        <v>560.98</v>
      </c>
      <c r="L342" t="b">
        <f t="shared" si="5"/>
        <v>0</v>
      </c>
    </row>
    <row r="343" spans="1:12">
      <c r="A343" s="2">
        <v>100341</v>
      </c>
      <c r="B343" s="14">
        <v>45813</v>
      </c>
      <c r="C343" s="2" t="s">
        <v>147</v>
      </c>
      <c r="D343" s="2" t="s">
        <v>175</v>
      </c>
      <c r="E343" s="2" t="s">
        <v>183</v>
      </c>
      <c r="F343" s="2" t="s">
        <v>191</v>
      </c>
      <c r="G343" s="2" t="s">
        <v>197</v>
      </c>
      <c r="H343" s="2">
        <v>1</v>
      </c>
      <c r="I343" s="5">
        <v>58000</v>
      </c>
      <c r="J343" s="10">
        <v>0.2</v>
      </c>
      <c r="K343" s="7">
        <v>8683.07</v>
      </c>
      <c r="L343" t="b">
        <f t="shared" si="5"/>
        <v>0</v>
      </c>
    </row>
    <row r="344" spans="1:12">
      <c r="A344" s="2">
        <v>100342</v>
      </c>
      <c r="B344" s="14">
        <v>45775</v>
      </c>
      <c r="C344" s="2" t="s">
        <v>67</v>
      </c>
      <c r="D344" s="2" t="s">
        <v>171</v>
      </c>
      <c r="E344" s="2" t="s">
        <v>186</v>
      </c>
      <c r="F344" s="2" t="s">
        <v>189</v>
      </c>
      <c r="G344" s="2" t="s">
        <v>194</v>
      </c>
      <c r="H344" s="2">
        <v>4</v>
      </c>
      <c r="I344" s="5">
        <v>248000</v>
      </c>
      <c r="J344" s="10">
        <v>0.05</v>
      </c>
      <c r="K344" s="7">
        <v>51144.27</v>
      </c>
      <c r="L344" t="b">
        <f t="shared" si="5"/>
        <v>0</v>
      </c>
    </row>
    <row r="345" spans="1:12">
      <c r="A345" s="2">
        <v>100343</v>
      </c>
      <c r="B345" s="14">
        <v>45705</v>
      </c>
      <c r="C345" s="2" t="s">
        <v>28</v>
      </c>
      <c r="D345" s="2" t="s">
        <v>174</v>
      </c>
      <c r="E345" s="2" t="s">
        <v>183</v>
      </c>
      <c r="F345" s="2" t="s">
        <v>190</v>
      </c>
      <c r="G345" s="2" t="s">
        <v>201</v>
      </c>
      <c r="H345" s="2">
        <v>3</v>
      </c>
      <c r="I345" s="5">
        <v>4500</v>
      </c>
      <c r="J345" s="10">
        <v>0.2</v>
      </c>
      <c r="K345" s="7">
        <v>640.82000000000005</v>
      </c>
      <c r="L345" t="b">
        <f t="shared" si="5"/>
        <v>0</v>
      </c>
    </row>
    <row r="346" spans="1:12">
      <c r="A346" s="2">
        <v>100344</v>
      </c>
      <c r="B346" s="14">
        <v>45746</v>
      </c>
      <c r="C346" s="2" t="s">
        <v>36</v>
      </c>
      <c r="D346" s="2" t="s">
        <v>168</v>
      </c>
      <c r="E346" s="2" t="s">
        <v>186</v>
      </c>
      <c r="F346" s="2" t="s">
        <v>192</v>
      </c>
      <c r="G346" s="2" t="s">
        <v>203</v>
      </c>
      <c r="H346" s="2">
        <v>1</v>
      </c>
      <c r="I346" s="5">
        <v>2000</v>
      </c>
      <c r="J346" s="10">
        <v>0.2</v>
      </c>
      <c r="K346" s="7">
        <v>384.31</v>
      </c>
      <c r="L346" t="b">
        <f t="shared" si="5"/>
        <v>0</v>
      </c>
    </row>
    <row r="347" spans="1:12">
      <c r="A347" s="2">
        <v>100345</v>
      </c>
      <c r="B347" s="14">
        <v>45894</v>
      </c>
      <c r="C347" s="2" t="s">
        <v>133</v>
      </c>
      <c r="D347" s="2" t="s">
        <v>176</v>
      </c>
      <c r="E347" s="2" t="s">
        <v>185</v>
      </c>
      <c r="F347" s="2" t="s">
        <v>190</v>
      </c>
      <c r="G347" s="2" t="s">
        <v>204</v>
      </c>
      <c r="H347" s="2">
        <v>2</v>
      </c>
      <c r="I347" s="5">
        <v>1000</v>
      </c>
      <c r="J347" s="10">
        <v>0.15</v>
      </c>
      <c r="K347" s="7">
        <v>130.16</v>
      </c>
      <c r="L347" t="b">
        <f t="shared" si="5"/>
        <v>0</v>
      </c>
    </row>
    <row r="348" spans="1:12">
      <c r="A348" s="2">
        <v>100346</v>
      </c>
      <c r="B348" s="14">
        <v>45929</v>
      </c>
      <c r="C348" s="2" t="s">
        <v>92</v>
      </c>
      <c r="D348" s="2" t="s">
        <v>165</v>
      </c>
      <c r="E348" s="2" t="s">
        <v>184</v>
      </c>
      <c r="F348" s="2" t="s">
        <v>189</v>
      </c>
      <c r="G348" s="2" t="s">
        <v>194</v>
      </c>
      <c r="H348" s="2">
        <v>4</v>
      </c>
      <c r="I348" s="5">
        <v>248000</v>
      </c>
      <c r="J348" s="10">
        <v>0.2</v>
      </c>
      <c r="K348" s="7">
        <v>44165.440000000002</v>
      </c>
      <c r="L348" t="b">
        <f t="shared" si="5"/>
        <v>0</v>
      </c>
    </row>
    <row r="349" spans="1:12">
      <c r="A349" s="2">
        <v>100347</v>
      </c>
      <c r="B349" s="14">
        <v>45876</v>
      </c>
      <c r="C349" s="2" t="s">
        <v>129</v>
      </c>
      <c r="D349" s="2" t="s">
        <v>169</v>
      </c>
      <c r="E349" s="2" t="s">
        <v>188</v>
      </c>
      <c r="F349" s="2" t="s">
        <v>190</v>
      </c>
      <c r="G349" s="2" t="s">
        <v>199</v>
      </c>
      <c r="H349" s="2">
        <v>4</v>
      </c>
      <c r="I349" s="5">
        <v>7200</v>
      </c>
      <c r="J349" s="10">
        <v>0.15</v>
      </c>
      <c r="K349" s="7">
        <v>1492.46</v>
      </c>
      <c r="L349" t="b">
        <f t="shared" si="5"/>
        <v>0</v>
      </c>
    </row>
    <row r="350" spans="1:12">
      <c r="A350" s="2">
        <v>100348</v>
      </c>
      <c r="B350" s="14">
        <v>45968</v>
      </c>
      <c r="C350" s="2" t="s">
        <v>53</v>
      </c>
      <c r="D350" s="2" t="s">
        <v>171</v>
      </c>
      <c r="E350" s="2" t="s">
        <v>185</v>
      </c>
      <c r="F350" s="2" t="s">
        <v>192</v>
      </c>
      <c r="G350" s="2" t="s">
        <v>205</v>
      </c>
      <c r="H350" s="2">
        <v>2</v>
      </c>
      <c r="I350" s="5">
        <v>9000</v>
      </c>
      <c r="J350" s="10">
        <v>0.05</v>
      </c>
      <c r="K350" s="7">
        <v>1588.01</v>
      </c>
      <c r="L350" t="b">
        <f t="shared" si="5"/>
        <v>0</v>
      </c>
    </row>
    <row r="351" spans="1:12">
      <c r="A351" s="2">
        <v>100349</v>
      </c>
      <c r="B351" s="14">
        <v>45933</v>
      </c>
      <c r="C351" s="2" t="s">
        <v>26</v>
      </c>
      <c r="D351" s="2" t="s">
        <v>166</v>
      </c>
      <c r="E351" s="2" t="s">
        <v>183</v>
      </c>
      <c r="F351" s="2" t="s">
        <v>190</v>
      </c>
      <c r="G351" s="2" t="s">
        <v>204</v>
      </c>
      <c r="H351" s="2">
        <v>1</v>
      </c>
      <c r="I351" s="5">
        <v>500</v>
      </c>
      <c r="J351" s="10">
        <v>0.05</v>
      </c>
      <c r="K351" s="7">
        <v>63.33</v>
      </c>
      <c r="L351" t="b">
        <f t="shared" si="5"/>
        <v>0</v>
      </c>
    </row>
    <row r="352" spans="1:12">
      <c r="A352" s="2">
        <v>100350</v>
      </c>
      <c r="B352" s="14">
        <v>45787</v>
      </c>
      <c r="C352" s="2" t="s">
        <v>67</v>
      </c>
      <c r="D352" s="2" t="s">
        <v>171</v>
      </c>
      <c r="E352" s="2" t="s">
        <v>188</v>
      </c>
      <c r="F352" s="2" t="s">
        <v>189</v>
      </c>
      <c r="G352" s="2" t="s">
        <v>196</v>
      </c>
      <c r="H352" s="2">
        <v>1</v>
      </c>
      <c r="I352" s="5">
        <v>55000</v>
      </c>
      <c r="J352" s="10">
        <v>0.15</v>
      </c>
      <c r="K352" s="7">
        <v>7730.38</v>
      </c>
      <c r="L352" t="b">
        <f t="shared" si="5"/>
        <v>0</v>
      </c>
    </row>
    <row r="353" spans="1:12">
      <c r="A353" s="2">
        <v>100351</v>
      </c>
      <c r="B353" s="14">
        <v>46006</v>
      </c>
      <c r="C353" s="2" t="s">
        <v>18</v>
      </c>
      <c r="D353" s="2" t="s">
        <v>170</v>
      </c>
      <c r="E353" s="2" t="s">
        <v>186</v>
      </c>
      <c r="F353" s="2" t="s">
        <v>189</v>
      </c>
      <c r="G353" s="2" t="s">
        <v>193</v>
      </c>
      <c r="H353" s="2">
        <v>2</v>
      </c>
      <c r="I353" s="5">
        <v>170000</v>
      </c>
      <c r="J353" s="10">
        <v>0.15</v>
      </c>
      <c r="K353" s="7">
        <v>33080.11</v>
      </c>
      <c r="L353" t="b">
        <f t="shared" si="5"/>
        <v>0</v>
      </c>
    </row>
    <row r="354" spans="1:12">
      <c r="A354" s="2">
        <v>100352</v>
      </c>
      <c r="B354" s="14">
        <v>45756</v>
      </c>
      <c r="C354" s="2" t="s">
        <v>78</v>
      </c>
      <c r="D354" s="2" t="s">
        <v>173</v>
      </c>
      <c r="E354" s="2" t="s">
        <v>188</v>
      </c>
      <c r="F354" s="2" t="s">
        <v>190</v>
      </c>
      <c r="G354" s="2" t="s">
        <v>204</v>
      </c>
      <c r="H354" s="2">
        <v>3</v>
      </c>
      <c r="I354" s="5">
        <v>1500</v>
      </c>
      <c r="J354" s="10">
        <v>0.1</v>
      </c>
      <c r="K354" s="7">
        <v>239.08</v>
      </c>
      <c r="L354" t="b">
        <f t="shared" si="5"/>
        <v>0</v>
      </c>
    </row>
    <row r="355" spans="1:12">
      <c r="A355" s="2">
        <v>100353</v>
      </c>
      <c r="B355" s="14">
        <v>45733</v>
      </c>
      <c r="C355" s="2" t="s">
        <v>150</v>
      </c>
      <c r="D355" s="2" t="s">
        <v>176</v>
      </c>
      <c r="E355" s="2" t="s">
        <v>186</v>
      </c>
      <c r="F355" s="2" t="s">
        <v>191</v>
      </c>
      <c r="G355" s="2" t="s">
        <v>200</v>
      </c>
      <c r="H355" s="2">
        <v>1</v>
      </c>
      <c r="I355" s="5">
        <v>28000</v>
      </c>
      <c r="J355" s="10">
        <v>0.15</v>
      </c>
      <c r="K355" s="7">
        <v>4940.26</v>
      </c>
      <c r="L355" t="b">
        <f t="shared" si="5"/>
        <v>0</v>
      </c>
    </row>
    <row r="356" spans="1:12">
      <c r="A356" s="2">
        <v>100354</v>
      </c>
      <c r="B356" s="14">
        <v>45722</v>
      </c>
      <c r="C356" s="2" t="s">
        <v>151</v>
      </c>
      <c r="D356" s="2" t="s">
        <v>176</v>
      </c>
      <c r="E356" s="2" t="s">
        <v>185</v>
      </c>
      <c r="F356" s="2" t="s">
        <v>189</v>
      </c>
      <c r="G356" s="2" t="s">
        <v>198</v>
      </c>
      <c r="H356" s="2">
        <v>3</v>
      </c>
      <c r="I356" s="5">
        <v>135000</v>
      </c>
      <c r="J356" s="10">
        <v>0.2</v>
      </c>
      <c r="K356" s="7">
        <v>14610.42</v>
      </c>
      <c r="L356" t="b">
        <f t="shared" si="5"/>
        <v>0</v>
      </c>
    </row>
    <row r="357" spans="1:12">
      <c r="A357" s="2">
        <v>100355</v>
      </c>
      <c r="B357" s="14">
        <v>45801</v>
      </c>
      <c r="C357" s="2" t="s">
        <v>117</v>
      </c>
      <c r="D357" s="2" t="s">
        <v>174</v>
      </c>
      <c r="E357" s="2" t="s">
        <v>183</v>
      </c>
      <c r="F357" s="2" t="s">
        <v>189</v>
      </c>
      <c r="G357" s="2" t="s">
        <v>193</v>
      </c>
      <c r="H357" s="2">
        <v>2</v>
      </c>
      <c r="I357" s="5">
        <v>170000</v>
      </c>
      <c r="J357" s="10">
        <v>0.05</v>
      </c>
      <c r="K357" s="7">
        <v>34756.76</v>
      </c>
      <c r="L357" t="b">
        <f t="shared" si="5"/>
        <v>0</v>
      </c>
    </row>
    <row r="358" spans="1:12">
      <c r="A358" s="2">
        <v>100356</v>
      </c>
      <c r="B358" s="14">
        <v>45743</v>
      </c>
      <c r="C358" s="2" t="s">
        <v>113</v>
      </c>
      <c r="D358" s="2" t="s">
        <v>164</v>
      </c>
      <c r="E358" s="2" t="s">
        <v>182</v>
      </c>
      <c r="F358" s="2" t="s">
        <v>191</v>
      </c>
      <c r="G358" s="2" t="s">
        <v>197</v>
      </c>
      <c r="H358" s="2">
        <v>2</v>
      </c>
      <c r="I358" s="5">
        <v>116000</v>
      </c>
      <c r="J358" s="10">
        <v>0.1</v>
      </c>
      <c r="K358" s="7">
        <v>13662</v>
      </c>
      <c r="L358" t="b">
        <f t="shared" si="5"/>
        <v>0</v>
      </c>
    </row>
    <row r="359" spans="1:12">
      <c r="A359" s="2">
        <v>100357</v>
      </c>
      <c r="B359" s="14">
        <v>45754</v>
      </c>
      <c r="C359" s="2" t="s">
        <v>37</v>
      </c>
      <c r="D359" s="2" t="s">
        <v>173</v>
      </c>
      <c r="E359" s="2" t="s">
        <v>183</v>
      </c>
      <c r="F359" s="2" t="s">
        <v>189</v>
      </c>
      <c r="G359" s="2" t="s">
        <v>196</v>
      </c>
      <c r="H359" s="2">
        <v>4</v>
      </c>
      <c r="I359" s="5">
        <v>220000</v>
      </c>
      <c r="J359" s="10">
        <v>0.1</v>
      </c>
      <c r="K359" s="7">
        <v>46453.99</v>
      </c>
      <c r="L359" t="b">
        <f t="shared" si="5"/>
        <v>0</v>
      </c>
    </row>
    <row r="360" spans="1:12">
      <c r="A360" s="2">
        <v>100358</v>
      </c>
      <c r="B360" s="14">
        <v>46001</v>
      </c>
      <c r="C360" s="2" t="s">
        <v>17</v>
      </c>
      <c r="D360" s="2" t="s">
        <v>169</v>
      </c>
      <c r="E360" s="2" t="s">
        <v>186</v>
      </c>
      <c r="F360" s="2" t="s">
        <v>191</v>
      </c>
      <c r="G360" s="2" t="s">
        <v>197</v>
      </c>
      <c r="H360" s="2">
        <v>3</v>
      </c>
      <c r="I360" s="5">
        <v>174000</v>
      </c>
      <c r="J360" s="10">
        <v>0.2</v>
      </c>
      <c r="K360" s="7">
        <v>27238.47</v>
      </c>
      <c r="L360" t="b">
        <f t="shared" si="5"/>
        <v>0</v>
      </c>
    </row>
    <row r="361" spans="1:12">
      <c r="A361" s="2">
        <v>100359</v>
      </c>
      <c r="B361" s="14">
        <v>45877</v>
      </c>
      <c r="C361" s="2" t="s">
        <v>94</v>
      </c>
      <c r="D361" s="2" t="s">
        <v>175</v>
      </c>
      <c r="E361" s="2" t="s">
        <v>181</v>
      </c>
      <c r="F361" s="2" t="s">
        <v>191</v>
      </c>
      <c r="G361" s="2" t="s">
        <v>200</v>
      </c>
      <c r="H361" s="2">
        <v>2</v>
      </c>
      <c r="I361" s="5">
        <v>56000</v>
      </c>
      <c r="J361" s="10">
        <v>0.2</v>
      </c>
      <c r="K361" s="7">
        <v>7187.28</v>
      </c>
      <c r="L361" t="b">
        <f t="shared" si="5"/>
        <v>0</v>
      </c>
    </row>
    <row r="362" spans="1:12">
      <c r="A362" s="2">
        <v>100360</v>
      </c>
      <c r="B362" s="14">
        <v>45933</v>
      </c>
      <c r="C362" s="2" t="s">
        <v>53</v>
      </c>
      <c r="D362" s="2" t="s">
        <v>171</v>
      </c>
      <c r="E362" s="2" t="s">
        <v>184</v>
      </c>
      <c r="F362" s="2" t="s">
        <v>190</v>
      </c>
      <c r="G362" s="2" t="s">
        <v>195</v>
      </c>
      <c r="H362" s="2">
        <v>3</v>
      </c>
      <c r="I362" s="5">
        <v>2400</v>
      </c>
      <c r="J362" s="10">
        <v>0.1</v>
      </c>
      <c r="K362" s="7">
        <v>334.34</v>
      </c>
      <c r="L362" t="b">
        <f t="shared" si="5"/>
        <v>0</v>
      </c>
    </row>
    <row r="363" spans="1:12">
      <c r="A363" s="2">
        <v>100361</v>
      </c>
      <c r="B363" s="14">
        <v>45704</v>
      </c>
      <c r="C363" s="2" t="s">
        <v>97</v>
      </c>
      <c r="D363" s="2" t="s">
        <v>168</v>
      </c>
      <c r="E363" s="2" t="s">
        <v>187</v>
      </c>
      <c r="F363" s="2" t="s">
        <v>191</v>
      </c>
      <c r="G363" s="2" t="s">
        <v>202</v>
      </c>
      <c r="H363" s="2">
        <v>2</v>
      </c>
      <c r="I363" s="5">
        <v>76000</v>
      </c>
      <c r="J363" s="10">
        <v>0.2</v>
      </c>
      <c r="K363" s="7">
        <v>11816.39</v>
      </c>
      <c r="L363" t="b">
        <f t="shared" si="5"/>
        <v>0</v>
      </c>
    </row>
    <row r="364" spans="1:12">
      <c r="A364" s="2">
        <v>100362</v>
      </c>
      <c r="B364" s="14">
        <v>45751</v>
      </c>
      <c r="C364" s="2" t="s">
        <v>57</v>
      </c>
      <c r="D364" s="2" t="s">
        <v>173</v>
      </c>
      <c r="E364" s="2" t="s">
        <v>182</v>
      </c>
      <c r="F364" s="2" t="s">
        <v>190</v>
      </c>
      <c r="G364" s="2" t="s">
        <v>201</v>
      </c>
      <c r="H364" s="2">
        <v>1</v>
      </c>
      <c r="I364" s="5">
        <v>1500</v>
      </c>
      <c r="J364" s="10">
        <v>0.15</v>
      </c>
      <c r="K364" s="7">
        <v>277.95</v>
      </c>
      <c r="L364" t="b">
        <f t="shared" si="5"/>
        <v>0</v>
      </c>
    </row>
    <row r="365" spans="1:12">
      <c r="A365" s="2">
        <v>100363</v>
      </c>
      <c r="B365" s="14">
        <v>45895</v>
      </c>
      <c r="C365" s="2" t="s">
        <v>51</v>
      </c>
      <c r="D365" s="2" t="s">
        <v>176</v>
      </c>
      <c r="E365" s="2" t="s">
        <v>188</v>
      </c>
      <c r="F365" s="2" t="s">
        <v>189</v>
      </c>
      <c r="G365" s="2" t="s">
        <v>196</v>
      </c>
      <c r="H365" s="2">
        <v>3</v>
      </c>
      <c r="I365" s="5">
        <v>165000</v>
      </c>
      <c r="J365" s="10">
        <v>0.1</v>
      </c>
      <c r="K365" s="7">
        <v>25771.05</v>
      </c>
      <c r="L365" t="b">
        <f t="shared" si="5"/>
        <v>0</v>
      </c>
    </row>
    <row r="366" spans="1:12">
      <c r="A366" s="2">
        <v>100364</v>
      </c>
      <c r="B366" s="14">
        <v>45861</v>
      </c>
      <c r="C366" s="2" t="s">
        <v>19</v>
      </c>
      <c r="D366" s="2" t="s">
        <v>165</v>
      </c>
      <c r="E366" s="2" t="s">
        <v>182</v>
      </c>
      <c r="F366" s="2" t="s">
        <v>191</v>
      </c>
      <c r="G366" s="2" t="s">
        <v>200</v>
      </c>
      <c r="H366" s="2">
        <v>1</v>
      </c>
      <c r="I366" s="5">
        <v>28000</v>
      </c>
      <c r="J366" s="10">
        <v>0.1</v>
      </c>
      <c r="K366" s="7">
        <v>4097.0600000000004</v>
      </c>
      <c r="L366" t="b">
        <f t="shared" si="5"/>
        <v>0</v>
      </c>
    </row>
    <row r="367" spans="1:12">
      <c r="A367" s="2">
        <v>100365</v>
      </c>
      <c r="B367" s="14">
        <v>45816</v>
      </c>
      <c r="C367" s="2" t="s">
        <v>27</v>
      </c>
      <c r="D367" s="2" t="s">
        <v>174</v>
      </c>
      <c r="E367" s="2" t="s">
        <v>184</v>
      </c>
      <c r="F367" s="2" t="s">
        <v>189</v>
      </c>
      <c r="G367" s="2" t="s">
        <v>206</v>
      </c>
      <c r="H367" s="2">
        <v>2</v>
      </c>
      <c r="I367" s="5">
        <v>100000</v>
      </c>
      <c r="J367" s="10">
        <v>0.05</v>
      </c>
      <c r="K367" s="7">
        <v>17976.43</v>
      </c>
      <c r="L367" t="b">
        <f t="shared" si="5"/>
        <v>0</v>
      </c>
    </row>
    <row r="368" spans="1:12">
      <c r="A368" s="2">
        <v>100366</v>
      </c>
      <c r="B368" s="14">
        <v>45850</v>
      </c>
      <c r="C368" s="2" t="s">
        <v>52</v>
      </c>
      <c r="D368" s="2" t="s">
        <v>170</v>
      </c>
      <c r="E368" s="2" t="s">
        <v>188</v>
      </c>
      <c r="F368" s="2" t="s">
        <v>189</v>
      </c>
      <c r="G368" s="2" t="s">
        <v>206</v>
      </c>
      <c r="H368" s="2">
        <v>1</v>
      </c>
      <c r="I368" s="5">
        <v>50000</v>
      </c>
      <c r="J368" s="10">
        <v>0.2</v>
      </c>
      <c r="K368" s="7">
        <v>9652.26</v>
      </c>
      <c r="L368" t="b">
        <f t="shared" si="5"/>
        <v>0</v>
      </c>
    </row>
    <row r="369" spans="1:12">
      <c r="A369" s="2">
        <v>100367</v>
      </c>
      <c r="B369" s="14">
        <v>45871</v>
      </c>
      <c r="C369" s="2" t="s">
        <v>148</v>
      </c>
      <c r="D369" s="2" t="s">
        <v>178</v>
      </c>
      <c r="E369" s="2" t="s">
        <v>184</v>
      </c>
      <c r="F369" s="2" t="s">
        <v>190</v>
      </c>
      <c r="G369" s="2" t="s">
        <v>204</v>
      </c>
      <c r="H369" s="2">
        <v>4</v>
      </c>
      <c r="I369" s="5">
        <v>2000</v>
      </c>
      <c r="J369" s="10">
        <v>0.1</v>
      </c>
      <c r="K369" s="7">
        <v>335.87</v>
      </c>
      <c r="L369" t="b">
        <f t="shared" si="5"/>
        <v>0</v>
      </c>
    </row>
    <row r="370" spans="1:12">
      <c r="A370" s="2">
        <v>100368</v>
      </c>
      <c r="B370" s="14">
        <v>45934</v>
      </c>
      <c r="C370" s="2" t="s">
        <v>35</v>
      </c>
      <c r="D370" s="2" t="s">
        <v>177</v>
      </c>
      <c r="E370" s="2" t="s">
        <v>188</v>
      </c>
      <c r="F370" s="2" t="s">
        <v>189</v>
      </c>
      <c r="G370" s="2" t="s">
        <v>193</v>
      </c>
      <c r="H370" s="2">
        <v>2</v>
      </c>
      <c r="I370" s="5">
        <v>170000</v>
      </c>
      <c r="J370" s="10">
        <v>0.05</v>
      </c>
      <c r="K370" s="7">
        <v>33633.46</v>
      </c>
      <c r="L370" t="b">
        <f t="shared" si="5"/>
        <v>0</v>
      </c>
    </row>
    <row r="371" spans="1:12">
      <c r="A371" s="2">
        <v>100369</v>
      </c>
      <c r="B371" s="14">
        <v>45946</v>
      </c>
      <c r="C371" s="2" t="s">
        <v>152</v>
      </c>
      <c r="D371" s="2" t="s">
        <v>177</v>
      </c>
      <c r="E371" s="2" t="s">
        <v>182</v>
      </c>
      <c r="F371" s="2" t="s">
        <v>191</v>
      </c>
      <c r="G371" s="2" t="s">
        <v>200</v>
      </c>
      <c r="H371" s="2">
        <v>3</v>
      </c>
      <c r="I371" s="5">
        <v>84000</v>
      </c>
      <c r="J371" s="10">
        <v>0.05</v>
      </c>
      <c r="K371" s="7">
        <v>17631.3</v>
      </c>
      <c r="L371" t="b">
        <f t="shared" si="5"/>
        <v>0</v>
      </c>
    </row>
    <row r="372" spans="1:12">
      <c r="A372" s="2">
        <v>100370</v>
      </c>
      <c r="B372" s="14">
        <v>45970</v>
      </c>
      <c r="C372" s="2" t="s">
        <v>110</v>
      </c>
      <c r="D372" s="2" t="s">
        <v>169</v>
      </c>
      <c r="E372" s="2" t="s">
        <v>188</v>
      </c>
      <c r="F372" s="2" t="s">
        <v>191</v>
      </c>
      <c r="G372" s="2" t="s">
        <v>200</v>
      </c>
      <c r="H372" s="2">
        <v>3</v>
      </c>
      <c r="I372" s="5">
        <v>84000</v>
      </c>
      <c r="J372" s="10">
        <v>0.05</v>
      </c>
      <c r="K372" s="7">
        <v>16560.259999999998</v>
      </c>
      <c r="L372" t="b">
        <f t="shared" si="5"/>
        <v>0</v>
      </c>
    </row>
    <row r="373" spans="1:12">
      <c r="A373" s="2">
        <v>100371</v>
      </c>
      <c r="B373" s="14">
        <v>45938</v>
      </c>
      <c r="C373" s="2" t="s">
        <v>110</v>
      </c>
      <c r="D373" s="2" t="s">
        <v>169</v>
      </c>
      <c r="E373" s="2" t="s">
        <v>188</v>
      </c>
      <c r="F373" s="2" t="s">
        <v>190</v>
      </c>
      <c r="G373" s="2" t="s">
        <v>195</v>
      </c>
      <c r="H373" s="2">
        <v>1</v>
      </c>
      <c r="I373" s="5">
        <v>800</v>
      </c>
      <c r="J373" s="10">
        <v>0.05</v>
      </c>
      <c r="K373" s="7">
        <v>113.12</v>
      </c>
      <c r="L373" t="b">
        <f t="shared" si="5"/>
        <v>0</v>
      </c>
    </row>
    <row r="374" spans="1:12">
      <c r="A374" s="2">
        <v>100372</v>
      </c>
      <c r="B374" s="14">
        <v>46014</v>
      </c>
      <c r="C374" s="2" t="s">
        <v>97</v>
      </c>
      <c r="D374" s="2" t="s">
        <v>168</v>
      </c>
      <c r="E374" s="2" t="s">
        <v>181</v>
      </c>
      <c r="F374" s="2" t="s">
        <v>191</v>
      </c>
      <c r="G374" s="2" t="s">
        <v>209</v>
      </c>
      <c r="H374" s="2">
        <v>4</v>
      </c>
      <c r="I374" s="5">
        <v>104000</v>
      </c>
      <c r="J374" s="10">
        <v>0.05</v>
      </c>
      <c r="K374" s="7">
        <v>21249.03</v>
      </c>
      <c r="L374" t="b">
        <f t="shared" si="5"/>
        <v>0</v>
      </c>
    </row>
    <row r="375" spans="1:12">
      <c r="A375" s="2">
        <v>100373</v>
      </c>
      <c r="B375" s="14">
        <v>45680</v>
      </c>
      <c r="C375" s="2" t="s">
        <v>24</v>
      </c>
      <c r="D375" s="2" t="s">
        <v>166</v>
      </c>
      <c r="E375" s="2" t="s">
        <v>183</v>
      </c>
      <c r="F375" s="2" t="s">
        <v>189</v>
      </c>
      <c r="G375" s="2" t="s">
        <v>206</v>
      </c>
      <c r="H375" s="2">
        <v>1</v>
      </c>
      <c r="I375" s="5">
        <v>50000</v>
      </c>
      <c r="J375" s="10">
        <v>0.05</v>
      </c>
      <c r="K375" s="7">
        <v>11098</v>
      </c>
      <c r="L375" t="b">
        <f t="shared" si="5"/>
        <v>0</v>
      </c>
    </row>
    <row r="376" spans="1:12">
      <c r="A376" s="2">
        <v>100374</v>
      </c>
      <c r="B376" s="14">
        <v>45847</v>
      </c>
      <c r="C376" s="2" t="s">
        <v>115</v>
      </c>
      <c r="D376" s="2" t="s">
        <v>176</v>
      </c>
      <c r="E376" s="2" t="s">
        <v>183</v>
      </c>
      <c r="F376" s="2" t="s">
        <v>189</v>
      </c>
      <c r="G376" s="2" t="s">
        <v>196</v>
      </c>
      <c r="H376" s="2">
        <v>4</v>
      </c>
      <c r="I376" s="5">
        <v>220000</v>
      </c>
      <c r="J376" s="10">
        <v>0.15</v>
      </c>
      <c r="K376" s="7">
        <v>29380.720000000001</v>
      </c>
      <c r="L376" t="b">
        <f t="shared" si="5"/>
        <v>0</v>
      </c>
    </row>
    <row r="377" spans="1:12">
      <c r="A377" s="2">
        <v>100375</v>
      </c>
      <c r="B377" s="14">
        <v>45931</v>
      </c>
      <c r="C377" s="2" t="s">
        <v>111</v>
      </c>
      <c r="D377" s="2" t="s">
        <v>175</v>
      </c>
      <c r="E377" s="2" t="s">
        <v>187</v>
      </c>
      <c r="F377" s="2" t="s">
        <v>190</v>
      </c>
      <c r="G377" s="2" t="s">
        <v>199</v>
      </c>
      <c r="H377" s="2">
        <v>1</v>
      </c>
      <c r="I377" s="5">
        <v>1800</v>
      </c>
      <c r="J377" s="10">
        <v>0.15</v>
      </c>
      <c r="K377" s="7">
        <v>346.82</v>
      </c>
      <c r="L377" t="b">
        <f t="shared" si="5"/>
        <v>0</v>
      </c>
    </row>
    <row r="378" spans="1:12">
      <c r="A378" s="2">
        <v>100376</v>
      </c>
      <c r="B378" s="14">
        <v>45725</v>
      </c>
      <c r="C378" s="2" t="s">
        <v>109</v>
      </c>
      <c r="D378" s="2" t="s">
        <v>170</v>
      </c>
      <c r="E378" s="2" t="s">
        <v>187</v>
      </c>
      <c r="F378" s="2" t="s">
        <v>189</v>
      </c>
      <c r="G378" s="2" t="s">
        <v>193</v>
      </c>
      <c r="H378" s="2">
        <v>3</v>
      </c>
      <c r="I378" s="5">
        <v>255000</v>
      </c>
      <c r="J378" s="10">
        <v>0.15</v>
      </c>
      <c r="K378" s="7">
        <v>26386.67</v>
      </c>
      <c r="L378" t="b">
        <f t="shared" si="5"/>
        <v>0</v>
      </c>
    </row>
    <row r="379" spans="1:12">
      <c r="A379" s="2">
        <v>100377</v>
      </c>
      <c r="B379" s="14">
        <v>45982</v>
      </c>
      <c r="C379" s="2" t="s">
        <v>42</v>
      </c>
      <c r="D379" s="2" t="s">
        <v>168</v>
      </c>
      <c r="E379" s="2" t="s">
        <v>186</v>
      </c>
      <c r="F379" s="2" t="s">
        <v>191</v>
      </c>
      <c r="G379" s="2" t="s">
        <v>197</v>
      </c>
      <c r="H379" s="2">
        <v>1</v>
      </c>
      <c r="I379" s="5">
        <v>58000</v>
      </c>
      <c r="J379" s="10">
        <v>0.2</v>
      </c>
      <c r="K379" s="7">
        <v>5661.55</v>
      </c>
      <c r="L379" t="b">
        <f t="shared" si="5"/>
        <v>0</v>
      </c>
    </row>
    <row r="380" spans="1:12">
      <c r="A380" s="2">
        <v>100378</v>
      </c>
      <c r="B380" s="14">
        <v>45934</v>
      </c>
      <c r="C380" s="2" t="s">
        <v>133</v>
      </c>
      <c r="D380" s="2" t="s">
        <v>176</v>
      </c>
      <c r="E380" s="2" t="s">
        <v>186</v>
      </c>
      <c r="F380" s="2" t="s">
        <v>192</v>
      </c>
      <c r="G380" s="2" t="s">
        <v>207</v>
      </c>
      <c r="H380" s="2">
        <v>2</v>
      </c>
      <c r="I380" s="5">
        <v>3600</v>
      </c>
      <c r="J380" s="10">
        <v>0.2</v>
      </c>
      <c r="K380" s="7">
        <v>361.32</v>
      </c>
      <c r="L380" t="b">
        <f t="shared" si="5"/>
        <v>0</v>
      </c>
    </row>
    <row r="381" spans="1:12">
      <c r="A381" s="2">
        <v>100379</v>
      </c>
      <c r="B381" s="14">
        <v>45947</v>
      </c>
      <c r="C381" s="2" t="s">
        <v>77</v>
      </c>
      <c r="D381" s="2" t="s">
        <v>165</v>
      </c>
      <c r="E381" s="2" t="s">
        <v>186</v>
      </c>
      <c r="F381" s="2" t="s">
        <v>191</v>
      </c>
      <c r="G381" s="2" t="s">
        <v>209</v>
      </c>
      <c r="H381" s="2">
        <v>3</v>
      </c>
      <c r="I381" s="5">
        <v>78000</v>
      </c>
      <c r="J381" s="10">
        <v>0.05</v>
      </c>
      <c r="K381" s="7">
        <v>16050.1</v>
      </c>
      <c r="L381" t="b">
        <f t="shared" si="5"/>
        <v>0</v>
      </c>
    </row>
    <row r="382" spans="1:12">
      <c r="A382" s="2">
        <v>100380</v>
      </c>
      <c r="B382" s="14">
        <v>45837</v>
      </c>
      <c r="C382" s="2" t="s">
        <v>106</v>
      </c>
      <c r="D382" s="2" t="s">
        <v>170</v>
      </c>
      <c r="E382" s="2" t="s">
        <v>181</v>
      </c>
      <c r="F382" s="2" t="s">
        <v>190</v>
      </c>
      <c r="G382" s="2" t="s">
        <v>204</v>
      </c>
      <c r="H382" s="2">
        <v>4</v>
      </c>
      <c r="I382" s="5">
        <v>2000</v>
      </c>
      <c r="J382" s="10">
        <v>0.05</v>
      </c>
      <c r="K382" s="7">
        <v>470.48</v>
      </c>
      <c r="L382" t="b">
        <f t="shared" si="5"/>
        <v>0</v>
      </c>
    </row>
    <row r="383" spans="1:12">
      <c r="A383" s="2">
        <v>100381</v>
      </c>
      <c r="B383" s="14">
        <v>45969</v>
      </c>
      <c r="C383" s="2" t="s">
        <v>78</v>
      </c>
      <c r="D383" s="2" t="s">
        <v>173</v>
      </c>
      <c r="E383" s="2" t="s">
        <v>187</v>
      </c>
      <c r="F383" s="2" t="s">
        <v>191</v>
      </c>
      <c r="G383" s="2" t="s">
        <v>197</v>
      </c>
      <c r="H383" s="2">
        <v>1</v>
      </c>
      <c r="I383" s="5">
        <v>58000</v>
      </c>
      <c r="J383" s="10">
        <v>0.05</v>
      </c>
      <c r="K383" s="7">
        <v>13697.77</v>
      </c>
      <c r="L383" t="b">
        <f t="shared" si="5"/>
        <v>0</v>
      </c>
    </row>
    <row r="384" spans="1:12">
      <c r="A384" s="2">
        <v>100382</v>
      </c>
      <c r="B384" s="14">
        <v>45847</v>
      </c>
      <c r="C384" s="2" t="s">
        <v>127</v>
      </c>
      <c r="D384" s="2" t="s">
        <v>170</v>
      </c>
      <c r="E384" s="2" t="s">
        <v>184</v>
      </c>
      <c r="F384" s="2" t="s">
        <v>192</v>
      </c>
      <c r="G384" s="2" t="s">
        <v>207</v>
      </c>
      <c r="H384" s="2">
        <v>1</v>
      </c>
      <c r="I384" s="5">
        <v>1800</v>
      </c>
      <c r="J384" s="10">
        <v>0.15</v>
      </c>
      <c r="K384" s="7">
        <v>192.12</v>
      </c>
      <c r="L384" t="b">
        <f t="shared" si="5"/>
        <v>0</v>
      </c>
    </row>
    <row r="385" spans="1:12">
      <c r="A385" s="2">
        <v>100383</v>
      </c>
      <c r="B385" s="14">
        <v>45804</v>
      </c>
      <c r="C385" s="2" t="s">
        <v>148</v>
      </c>
      <c r="D385" s="2" t="s">
        <v>178</v>
      </c>
      <c r="E385" s="2" t="s">
        <v>186</v>
      </c>
      <c r="F385" s="2" t="s">
        <v>190</v>
      </c>
      <c r="G385" s="2" t="s">
        <v>195</v>
      </c>
      <c r="H385" s="2">
        <v>3</v>
      </c>
      <c r="I385" s="5">
        <v>2400</v>
      </c>
      <c r="J385" s="10">
        <v>0.1</v>
      </c>
      <c r="K385" s="7">
        <v>463.97</v>
      </c>
      <c r="L385" t="b">
        <f t="shared" si="5"/>
        <v>0</v>
      </c>
    </row>
    <row r="386" spans="1:12">
      <c r="A386" s="2">
        <v>100384</v>
      </c>
      <c r="B386" s="14">
        <v>45812</v>
      </c>
      <c r="C386" s="2" t="s">
        <v>146</v>
      </c>
      <c r="D386" s="2" t="s">
        <v>169</v>
      </c>
      <c r="E386" s="2" t="s">
        <v>186</v>
      </c>
      <c r="F386" s="2" t="s">
        <v>192</v>
      </c>
      <c r="G386" s="2" t="s">
        <v>208</v>
      </c>
      <c r="H386" s="2">
        <v>3</v>
      </c>
      <c r="I386" s="5">
        <v>9600</v>
      </c>
      <c r="J386" s="10">
        <v>0.1</v>
      </c>
      <c r="K386" s="7">
        <v>1457.42</v>
      </c>
      <c r="L386" t="b">
        <f t="shared" si="5"/>
        <v>0</v>
      </c>
    </row>
    <row r="387" spans="1:12">
      <c r="A387" s="2">
        <v>100385</v>
      </c>
      <c r="B387" s="14">
        <v>45914</v>
      </c>
      <c r="C387" s="2" t="s">
        <v>35</v>
      </c>
      <c r="D387" s="2" t="s">
        <v>177</v>
      </c>
      <c r="E387" s="2" t="s">
        <v>182</v>
      </c>
      <c r="F387" s="2" t="s">
        <v>192</v>
      </c>
      <c r="G387" s="2" t="s">
        <v>207</v>
      </c>
      <c r="H387" s="2">
        <v>3</v>
      </c>
      <c r="I387" s="5">
        <v>5400</v>
      </c>
      <c r="J387" s="10">
        <v>0.1</v>
      </c>
      <c r="K387" s="7">
        <v>804.3</v>
      </c>
      <c r="L387" t="b">
        <f t="shared" ref="L387:L450" si="6">COUNTIF(A:A, A387) &gt; 1</f>
        <v>0</v>
      </c>
    </row>
    <row r="388" spans="1:12">
      <c r="A388" s="2">
        <v>100386</v>
      </c>
      <c r="B388" s="14">
        <v>45982</v>
      </c>
      <c r="C388" s="2" t="s">
        <v>105</v>
      </c>
      <c r="D388" s="2" t="s">
        <v>165</v>
      </c>
      <c r="E388" s="2" t="s">
        <v>185</v>
      </c>
      <c r="F388" s="2" t="s">
        <v>192</v>
      </c>
      <c r="G388" s="2" t="s">
        <v>208</v>
      </c>
      <c r="H388" s="2">
        <v>2</v>
      </c>
      <c r="I388" s="5">
        <v>6400</v>
      </c>
      <c r="J388" s="10">
        <v>0.15</v>
      </c>
      <c r="K388" s="7">
        <v>1240.74</v>
      </c>
      <c r="L388" t="b">
        <f t="shared" si="6"/>
        <v>0</v>
      </c>
    </row>
    <row r="389" spans="1:12">
      <c r="A389" s="2">
        <v>100387</v>
      </c>
      <c r="B389" s="14">
        <v>45748</v>
      </c>
      <c r="C389" s="2" t="s">
        <v>139</v>
      </c>
      <c r="D389" s="2" t="s">
        <v>173</v>
      </c>
      <c r="E389" s="2" t="s">
        <v>184</v>
      </c>
      <c r="F389" s="2" t="s">
        <v>192</v>
      </c>
      <c r="G389" s="2" t="s">
        <v>203</v>
      </c>
      <c r="H389" s="2">
        <v>1</v>
      </c>
      <c r="I389" s="5">
        <v>2000</v>
      </c>
      <c r="J389" s="10">
        <v>0.2</v>
      </c>
      <c r="K389" s="7">
        <v>323.45</v>
      </c>
      <c r="L389" t="b">
        <f t="shared" si="6"/>
        <v>0</v>
      </c>
    </row>
    <row r="390" spans="1:12">
      <c r="A390" s="2">
        <v>100388</v>
      </c>
      <c r="B390" s="14">
        <v>45673</v>
      </c>
      <c r="C390" s="2" t="s">
        <v>132</v>
      </c>
      <c r="D390" s="2" t="s">
        <v>171</v>
      </c>
      <c r="E390" s="2" t="s">
        <v>186</v>
      </c>
      <c r="F390" s="2" t="s">
        <v>191</v>
      </c>
      <c r="G390" s="2" t="s">
        <v>200</v>
      </c>
      <c r="H390" s="2">
        <v>4</v>
      </c>
      <c r="I390" s="5">
        <v>112000</v>
      </c>
      <c r="J390" s="10">
        <v>0.15</v>
      </c>
      <c r="K390" s="7">
        <v>12026.19</v>
      </c>
      <c r="L390" t="b">
        <f t="shared" si="6"/>
        <v>0</v>
      </c>
    </row>
    <row r="391" spans="1:12">
      <c r="A391" s="2">
        <v>100389</v>
      </c>
      <c r="B391" s="14">
        <v>45848</v>
      </c>
      <c r="C391" s="2" t="s">
        <v>33</v>
      </c>
      <c r="D391" s="2" t="s">
        <v>175</v>
      </c>
      <c r="E391" s="2" t="s">
        <v>186</v>
      </c>
      <c r="F391" s="2" t="s">
        <v>192</v>
      </c>
      <c r="G391" s="2" t="s">
        <v>207</v>
      </c>
      <c r="H391" s="2">
        <v>1</v>
      </c>
      <c r="I391" s="5">
        <v>1800</v>
      </c>
      <c r="J391" s="10">
        <v>0.1</v>
      </c>
      <c r="K391" s="7">
        <v>309.82</v>
      </c>
      <c r="L391" t="b">
        <f t="shared" si="6"/>
        <v>0</v>
      </c>
    </row>
    <row r="392" spans="1:12">
      <c r="A392" s="2">
        <v>100390</v>
      </c>
      <c r="B392" s="14">
        <v>45700</v>
      </c>
      <c r="C392" s="2" t="s">
        <v>100</v>
      </c>
      <c r="D392" s="2" t="s">
        <v>170</v>
      </c>
      <c r="E392" s="2" t="s">
        <v>186</v>
      </c>
      <c r="F392" s="2" t="s">
        <v>192</v>
      </c>
      <c r="G392" s="2" t="s">
        <v>203</v>
      </c>
      <c r="H392" s="2">
        <v>2</v>
      </c>
      <c r="I392" s="5">
        <v>4000</v>
      </c>
      <c r="J392" s="10">
        <v>0.15</v>
      </c>
      <c r="K392" s="7">
        <v>707.44</v>
      </c>
      <c r="L392" t="b">
        <f t="shared" si="6"/>
        <v>0</v>
      </c>
    </row>
    <row r="393" spans="1:12">
      <c r="A393" s="2">
        <v>100391</v>
      </c>
      <c r="B393" s="14">
        <v>45756</v>
      </c>
      <c r="C393" s="2" t="s">
        <v>49</v>
      </c>
      <c r="D393" s="2" t="s">
        <v>173</v>
      </c>
      <c r="E393" s="2" t="s">
        <v>185</v>
      </c>
      <c r="F393" s="2" t="s">
        <v>192</v>
      </c>
      <c r="G393" s="2" t="s">
        <v>203</v>
      </c>
      <c r="H393" s="2">
        <v>3</v>
      </c>
      <c r="I393" s="5">
        <v>6000</v>
      </c>
      <c r="J393" s="10">
        <v>0.05</v>
      </c>
      <c r="K393" s="7">
        <v>837.57</v>
      </c>
      <c r="L393" t="b">
        <f t="shared" si="6"/>
        <v>0</v>
      </c>
    </row>
    <row r="394" spans="1:12">
      <c r="A394" s="2">
        <v>100392</v>
      </c>
      <c r="B394" s="14">
        <v>45915</v>
      </c>
      <c r="C394" s="2" t="s">
        <v>119</v>
      </c>
      <c r="D394" s="2" t="s">
        <v>173</v>
      </c>
      <c r="E394" s="2" t="s">
        <v>185</v>
      </c>
      <c r="F394" s="2" t="s">
        <v>192</v>
      </c>
      <c r="G394" s="2" t="s">
        <v>203</v>
      </c>
      <c r="H394" s="2">
        <v>3</v>
      </c>
      <c r="I394" s="5">
        <v>6000</v>
      </c>
      <c r="J394" s="10">
        <v>0.15</v>
      </c>
      <c r="K394" s="7">
        <v>1051.23</v>
      </c>
      <c r="L394" t="b">
        <f t="shared" si="6"/>
        <v>0</v>
      </c>
    </row>
    <row r="395" spans="1:12">
      <c r="A395" s="2">
        <v>100393</v>
      </c>
      <c r="B395" s="14">
        <v>45906</v>
      </c>
      <c r="C395" s="2" t="s">
        <v>18</v>
      </c>
      <c r="D395" s="2" t="s">
        <v>170</v>
      </c>
      <c r="E395" s="2" t="s">
        <v>181</v>
      </c>
      <c r="F395" s="2" t="s">
        <v>190</v>
      </c>
      <c r="G395" s="2" t="s">
        <v>204</v>
      </c>
      <c r="H395" s="2">
        <v>2</v>
      </c>
      <c r="I395" s="5">
        <v>1000</v>
      </c>
      <c r="J395" s="10">
        <v>0.05</v>
      </c>
      <c r="K395" s="7">
        <v>133.6</v>
      </c>
      <c r="L395" t="b">
        <f t="shared" si="6"/>
        <v>0</v>
      </c>
    </row>
    <row r="396" spans="1:12">
      <c r="A396" s="2">
        <v>100394</v>
      </c>
      <c r="B396" s="14">
        <v>45820</v>
      </c>
      <c r="C396" s="2" t="s">
        <v>73</v>
      </c>
      <c r="D396" s="2" t="s">
        <v>166</v>
      </c>
      <c r="E396" s="2" t="s">
        <v>184</v>
      </c>
      <c r="F396" s="2" t="s">
        <v>192</v>
      </c>
      <c r="G396" s="2" t="s">
        <v>208</v>
      </c>
      <c r="H396" s="2">
        <v>3</v>
      </c>
      <c r="I396" s="5">
        <v>9600</v>
      </c>
      <c r="J396" s="10">
        <v>0.15</v>
      </c>
      <c r="K396" s="7">
        <v>1438.7</v>
      </c>
      <c r="L396" t="b">
        <f t="shared" si="6"/>
        <v>0</v>
      </c>
    </row>
    <row r="397" spans="1:12">
      <c r="A397" s="2">
        <v>100395</v>
      </c>
      <c r="B397" s="14">
        <v>45663</v>
      </c>
      <c r="C397" s="2" t="s">
        <v>96</v>
      </c>
      <c r="D397" s="2" t="s">
        <v>173</v>
      </c>
      <c r="E397" s="2" t="s">
        <v>181</v>
      </c>
      <c r="F397" s="2" t="s">
        <v>191</v>
      </c>
      <c r="G397" s="2" t="s">
        <v>209</v>
      </c>
      <c r="H397" s="2">
        <v>2</v>
      </c>
      <c r="I397" s="5">
        <v>52000</v>
      </c>
      <c r="J397" s="10">
        <v>0.05</v>
      </c>
      <c r="K397" s="7">
        <v>9406.4500000000007</v>
      </c>
      <c r="L397" t="b">
        <f t="shared" si="6"/>
        <v>0</v>
      </c>
    </row>
    <row r="398" spans="1:12">
      <c r="A398" s="2">
        <v>100396</v>
      </c>
      <c r="B398" s="14">
        <v>45835</v>
      </c>
      <c r="C398" s="2" t="s">
        <v>77</v>
      </c>
      <c r="D398" s="2" t="s">
        <v>165</v>
      </c>
      <c r="E398" s="2" t="s">
        <v>188</v>
      </c>
      <c r="F398" s="2" t="s">
        <v>191</v>
      </c>
      <c r="G398" s="2" t="s">
        <v>197</v>
      </c>
      <c r="H398" s="2">
        <v>4</v>
      </c>
      <c r="I398" s="5">
        <v>232000</v>
      </c>
      <c r="J398" s="10">
        <v>0.1</v>
      </c>
      <c r="K398" s="7">
        <v>36319.980000000003</v>
      </c>
      <c r="L398" t="b">
        <f t="shared" si="6"/>
        <v>0</v>
      </c>
    </row>
    <row r="399" spans="1:12">
      <c r="A399" s="2">
        <v>100397</v>
      </c>
      <c r="B399" s="14">
        <v>45997</v>
      </c>
      <c r="C399" s="2" t="s">
        <v>45</v>
      </c>
      <c r="D399" s="2" t="s">
        <v>165</v>
      </c>
      <c r="E399" s="2" t="s">
        <v>185</v>
      </c>
      <c r="F399" s="2" t="s">
        <v>190</v>
      </c>
      <c r="G399" s="2" t="s">
        <v>199</v>
      </c>
      <c r="H399" s="2">
        <v>4</v>
      </c>
      <c r="I399" s="5">
        <v>7200</v>
      </c>
      <c r="J399" s="10">
        <v>0.2</v>
      </c>
      <c r="K399" s="7">
        <v>1131.8699999999999</v>
      </c>
      <c r="L399" t="b">
        <f t="shared" si="6"/>
        <v>0</v>
      </c>
    </row>
    <row r="400" spans="1:12">
      <c r="A400" s="2">
        <v>100398</v>
      </c>
      <c r="B400" s="14">
        <v>45690</v>
      </c>
      <c r="C400" s="2" t="s">
        <v>43</v>
      </c>
      <c r="D400" s="2" t="s">
        <v>165</v>
      </c>
      <c r="E400" s="2" t="s">
        <v>182</v>
      </c>
      <c r="F400" s="2" t="s">
        <v>189</v>
      </c>
      <c r="G400" s="2" t="s">
        <v>193</v>
      </c>
      <c r="H400" s="2">
        <v>3</v>
      </c>
      <c r="I400" s="5">
        <v>255000</v>
      </c>
      <c r="J400" s="10">
        <v>0.1</v>
      </c>
      <c r="K400" s="7">
        <v>40215.42</v>
      </c>
      <c r="L400" t="b">
        <f t="shared" si="6"/>
        <v>0</v>
      </c>
    </row>
    <row r="401" spans="1:12">
      <c r="A401" s="2">
        <v>100399</v>
      </c>
      <c r="B401" s="14">
        <v>45836</v>
      </c>
      <c r="C401" s="2" t="s">
        <v>124</v>
      </c>
      <c r="D401" s="2" t="s">
        <v>165</v>
      </c>
      <c r="E401" s="2" t="s">
        <v>187</v>
      </c>
      <c r="F401" s="2" t="s">
        <v>192</v>
      </c>
      <c r="G401" s="2" t="s">
        <v>205</v>
      </c>
      <c r="H401" s="2">
        <v>4</v>
      </c>
      <c r="I401" s="5">
        <v>18000</v>
      </c>
      <c r="J401" s="10">
        <v>0.15</v>
      </c>
      <c r="K401" s="7">
        <v>2209.77</v>
      </c>
      <c r="L401" t="b">
        <f t="shared" si="6"/>
        <v>0</v>
      </c>
    </row>
    <row r="402" spans="1:12">
      <c r="A402" s="2">
        <v>100400</v>
      </c>
      <c r="B402" s="14">
        <v>45965</v>
      </c>
      <c r="C402" s="2" t="s">
        <v>115</v>
      </c>
      <c r="D402" s="2" t="s">
        <v>176</v>
      </c>
      <c r="E402" s="2" t="s">
        <v>182</v>
      </c>
      <c r="F402" s="2" t="s">
        <v>189</v>
      </c>
      <c r="G402" s="2" t="s">
        <v>194</v>
      </c>
      <c r="H402" s="2">
        <v>2</v>
      </c>
      <c r="I402" s="5">
        <v>124000</v>
      </c>
      <c r="J402" s="10">
        <v>0.1</v>
      </c>
      <c r="K402" s="7">
        <v>18945.64</v>
      </c>
      <c r="L402" t="b">
        <f t="shared" si="6"/>
        <v>0</v>
      </c>
    </row>
    <row r="403" spans="1:12">
      <c r="A403" s="2">
        <v>100401</v>
      </c>
      <c r="B403" s="14">
        <v>45925</v>
      </c>
      <c r="C403" s="2" t="s">
        <v>46</v>
      </c>
      <c r="D403" s="2" t="s">
        <v>169</v>
      </c>
      <c r="E403" s="2" t="s">
        <v>187</v>
      </c>
      <c r="F403" s="2" t="s">
        <v>191</v>
      </c>
      <c r="G403" s="2" t="s">
        <v>202</v>
      </c>
      <c r="H403" s="2">
        <v>2</v>
      </c>
      <c r="I403" s="5">
        <v>76000</v>
      </c>
      <c r="J403" s="10">
        <v>0.1</v>
      </c>
      <c r="K403" s="7">
        <v>15288.18</v>
      </c>
      <c r="L403" t="b">
        <f t="shared" si="6"/>
        <v>0</v>
      </c>
    </row>
    <row r="404" spans="1:12">
      <c r="A404" s="2">
        <v>100402</v>
      </c>
      <c r="B404" s="14">
        <v>45980</v>
      </c>
      <c r="C404" s="2" t="s">
        <v>59</v>
      </c>
      <c r="D404" s="2" t="s">
        <v>165</v>
      </c>
      <c r="E404" s="2" t="s">
        <v>185</v>
      </c>
      <c r="F404" s="2" t="s">
        <v>192</v>
      </c>
      <c r="G404" s="2" t="s">
        <v>205</v>
      </c>
      <c r="H404" s="2">
        <v>2</v>
      </c>
      <c r="I404" s="5">
        <v>9000</v>
      </c>
      <c r="J404" s="10">
        <v>0.05</v>
      </c>
      <c r="K404" s="7">
        <v>1319.5</v>
      </c>
      <c r="L404" t="b">
        <f t="shared" si="6"/>
        <v>0</v>
      </c>
    </row>
    <row r="405" spans="1:12">
      <c r="A405" s="2">
        <v>100403</v>
      </c>
      <c r="B405" s="14">
        <v>45811</v>
      </c>
      <c r="C405" s="2" t="s">
        <v>110</v>
      </c>
      <c r="D405" s="2" t="s">
        <v>169</v>
      </c>
      <c r="E405" s="2" t="s">
        <v>185</v>
      </c>
      <c r="F405" s="2" t="s">
        <v>191</v>
      </c>
      <c r="G405" s="2" t="s">
        <v>202</v>
      </c>
      <c r="H405" s="2">
        <v>2</v>
      </c>
      <c r="I405" s="5">
        <v>76000</v>
      </c>
      <c r="J405" s="10">
        <v>0.05</v>
      </c>
      <c r="K405" s="7">
        <v>11709.87</v>
      </c>
      <c r="L405" t="b">
        <f t="shared" si="6"/>
        <v>0</v>
      </c>
    </row>
    <row r="406" spans="1:12">
      <c r="A406" s="2">
        <v>100404</v>
      </c>
      <c r="B406" s="14">
        <v>45825</v>
      </c>
      <c r="C406" s="2" t="s">
        <v>153</v>
      </c>
      <c r="D406" s="2" t="s">
        <v>177</v>
      </c>
      <c r="E406" s="2" t="s">
        <v>185</v>
      </c>
      <c r="F406" s="2" t="s">
        <v>189</v>
      </c>
      <c r="G406" s="2" t="s">
        <v>198</v>
      </c>
      <c r="H406" s="2">
        <v>1</v>
      </c>
      <c r="I406" s="5">
        <v>45000</v>
      </c>
      <c r="J406" s="10">
        <v>0.1</v>
      </c>
      <c r="K406" s="7">
        <v>6326.08</v>
      </c>
      <c r="L406" t="b">
        <f t="shared" si="6"/>
        <v>0</v>
      </c>
    </row>
    <row r="407" spans="1:12">
      <c r="A407" s="2">
        <v>100405</v>
      </c>
      <c r="B407" s="14">
        <v>45987</v>
      </c>
      <c r="C407" s="2" t="s">
        <v>92</v>
      </c>
      <c r="D407" s="2" t="s">
        <v>165</v>
      </c>
      <c r="E407" s="2" t="s">
        <v>181</v>
      </c>
      <c r="F407" s="2" t="s">
        <v>190</v>
      </c>
      <c r="G407" s="2" t="s">
        <v>204</v>
      </c>
      <c r="H407" s="2">
        <v>3</v>
      </c>
      <c r="I407" s="5">
        <v>1500</v>
      </c>
      <c r="J407" s="10">
        <v>0.1</v>
      </c>
      <c r="K407" s="7">
        <v>173.08</v>
      </c>
      <c r="L407" t="b">
        <f t="shared" si="6"/>
        <v>0</v>
      </c>
    </row>
    <row r="408" spans="1:12">
      <c r="A408" s="2">
        <v>100406</v>
      </c>
      <c r="B408" s="14">
        <v>45993</v>
      </c>
      <c r="C408" s="2" t="s">
        <v>21</v>
      </c>
      <c r="D408" s="2" t="s">
        <v>172</v>
      </c>
      <c r="E408" s="2" t="s">
        <v>184</v>
      </c>
      <c r="F408" s="2" t="s">
        <v>189</v>
      </c>
      <c r="G408" s="2" t="s">
        <v>198</v>
      </c>
      <c r="H408" s="2">
        <v>4</v>
      </c>
      <c r="I408" s="5">
        <v>180000</v>
      </c>
      <c r="J408" s="10">
        <v>0.15</v>
      </c>
      <c r="K408" s="7">
        <v>37917.949999999997</v>
      </c>
      <c r="L408" t="b">
        <f t="shared" si="6"/>
        <v>0</v>
      </c>
    </row>
    <row r="409" spans="1:12">
      <c r="A409" s="2">
        <v>100407</v>
      </c>
      <c r="B409" s="14">
        <v>45701</v>
      </c>
      <c r="C409" s="2" t="s">
        <v>37</v>
      </c>
      <c r="D409" s="2" t="s">
        <v>173</v>
      </c>
      <c r="E409" s="2" t="s">
        <v>187</v>
      </c>
      <c r="F409" s="2" t="s">
        <v>192</v>
      </c>
      <c r="G409" s="2" t="s">
        <v>207</v>
      </c>
      <c r="H409" s="2">
        <v>2</v>
      </c>
      <c r="I409" s="5">
        <v>3600</v>
      </c>
      <c r="J409" s="10">
        <v>0.05</v>
      </c>
      <c r="K409" s="7">
        <v>742.89</v>
      </c>
      <c r="L409" t="b">
        <f t="shared" si="6"/>
        <v>0</v>
      </c>
    </row>
    <row r="410" spans="1:12">
      <c r="A410" s="2">
        <v>100408</v>
      </c>
      <c r="B410" s="14">
        <v>46001</v>
      </c>
      <c r="C410" s="2" t="s">
        <v>34</v>
      </c>
      <c r="D410" s="2" t="s">
        <v>176</v>
      </c>
      <c r="E410" s="2" t="s">
        <v>184</v>
      </c>
      <c r="F410" s="2" t="s">
        <v>189</v>
      </c>
      <c r="G410" s="2" t="s">
        <v>198</v>
      </c>
      <c r="H410" s="2">
        <v>4</v>
      </c>
      <c r="I410" s="5">
        <v>180000</v>
      </c>
      <c r="J410" s="10">
        <v>0.05</v>
      </c>
      <c r="K410" s="7">
        <v>30834.5</v>
      </c>
      <c r="L410" t="b">
        <f t="shared" si="6"/>
        <v>0</v>
      </c>
    </row>
    <row r="411" spans="1:12">
      <c r="A411" s="2">
        <v>100409</v>
      </c>
      <c r="B411" s="14">
        <v>45992</v>
      </c>
      <c r="C411" s="2" t="s">
        <v>25</v>
      </c>
      <c r="D411" s="2" t="s">
        <v>166</v>
      </c>
      <c r="E411" s="2" t="s">
        <v>181</v>
      </c>
      <c r="F411" s="2" t="s">
        <v>191</v>
      </c>
      <c r="G411" s="2" t="s">
        <v>197</v>
      </c>
      <c r="H411" s="2">
        <v>1</v>
      </c>
      <c r="I411" s="5">
        <v>58000</v>
      </c>
      <c r="J411" s="10">
        <v>0.05</v>
      </c>
      <c r="K411" s="7">
        <v>12976.07</v>
      </c>
      <c r="L411" t="b">
        <f t="shared" si="6"/>
        <v>0</v>
      </c>
    </row>
    <row r="412" spans="1:12">
      <c r="A412" s="2">
        <v>100410</v>
      </c>
      <c r="B412" s="14">
        <v>45781</v>
      </c>
      <c r="C412" s="2" t="s">
        <v>121</v>
      </c>
      <c r="D412" s="2" t="s">
        <v>170</v>
      </c>
      <c r="E412" s="2" t="s">
        <v>181</v>
      </c>
      <c r="F412" s="2" t="s">
        <v>190</v>
      </c>
      <c r="G412" s="2" t="s">
        <v>201</v>
      </c>
      <c r="H412" s="2">
        <v>4</v>
      </c>
      <c r="I412" s="5">
        <v>6000</v>
      </c>
      <c r="J412" s="10">
        <v>0.2</v>
      </c>
      <c r="K412" s="7">
        <v>1111.47</v>
      </c>
      <c r="L412" t="b">
        <f t="shared" si="6"/>
        <v>0</v>
      </c>
    </row>
    <row r="413" spans="1:12">
      <c r="A413" s="2">
        <v>100411</v>
      </c>
      <c r="B413" s="14">
        <v>45959</v>
      </c>
      <c r="C413" s="2" t="s">
        <v>36</v>
      </c>
      <c r="D413" s="2" t="s">
        <v>168</v>
      </c>
      <c r="E413" s="2" t="s">
        <v>183</v>
      </c>
      <c r="F413" s="2" t="s">
        <v>192</v>
      </c>
      <c r="G413" s="2" t="s">
        <v>205</v>
      </c>
      <c r="H413" s="2">
        <v>1</v>
      </c>
      <c r="I413" s="5">
        <v>4500</v>
      </c>
      <c r="J413" s="10">
        <v>0.2</v>
      </c>
      <c r="K413" s="7">
        <v>526.1</v>
      </c>
      <c r="L413" t="b">
        <f t="shared" si="6"/>
        <v>0</v>
      </c>
    </row>
    <row r="414" spans="1:12">
      <c r="A414" s="2">
        <v>100412</v>
      </c>
      <c r="B414" s="14">
        <v>45939</v>
      </c>
      <c r="C414" s="2" t="s">
        <v>31</v>
      </c>
      <c r="D414" s="2" t="s">
        <v>168</v>
      </c>
      <c r="E414" s="2" t="s">
        <v>182</v>
      </c>
      <c r="F414" s="2" t="s">
        <v>192</v>
      </c>
      <c r="G414" s="2" t="s">
        <v>207</v>
      </c>
      <c r="H414" s="2">
        <v>3</v>
      </c>
      <c r="I414" s="5">
        <v>5400</v>
      </c>
      <c r="J414" s="10">
        <v>0.05</v>
      </c>
      <c r="K414" s="7">
        <v>906.65</v>
      </c>
      <c r="L414" t="b">
        <f t="shared" si="6"/>
        <v>0</v>
      </c>
    </row>
    <row r="415" spans="1:12">
      <c r="A415" s="2">
        <v>100413</v>
      </c>
      <c r="B415" s="14">
        <v>45899</v>
      </c>
      <c r="C415" s="2" t="s">
        <v>154</v>
      </c>
      <c r="D415" s="2" t="s">
        <v>173</v>
      </c>
      <c r="E415" s="2" t="s">
        <v>182</v>
      </c>
      <c r="F415" s="2" t="s">
        <v>189</v>
      </c>
      <c r="G415" s="2" t="s">
        <v>194</v>
      </c>
      <c r="H415" s="2">
        <v>2</v>
      </c>
      <c r="I415" s="5">
        <v>124000</v>
      </c>
      <c r="J415" s="10">
        <v>0.2</v>
      </c>
      <c r="K415" s="7">
        <v>15115.22</v>
      </c>
      <c r="L415" t="b">
        <f t="shared" si="6"/>
        <v>0</v>
      </c>
    </row>
    <row r="416" spans="1:12">
      <c r="A416" s="2">
        <v>100414</v>
      </c>
      <c r="B416" s="14">
        <v>45749</v>
      </c>
      <c r="C416" s="2" t="s">
        <v>71</v>
      </c>
      <c r="D416" s="2" t="s">
        <v>174</v>
      </c>
      <c r="E416" s="2" t="s">
        <v>188</v>
      </c>
      <c r="F416" s="2" t="s">
        <v>191</v>
      </c>
      <c r="G416" s="2" t="s">
        <v>200</v>
      </c>
      <c r="H416" s="2">
        <v>4</v>
      </c>
      <c r="I416" s="5">
        <v>112000</v>
      </c>
      <c r="J416" s="10">
        <v>0.1</v>
      </c>
      <c r="K416" s="7">
        <v>13339.8</v>
      </c>
      <c r="L416" t="b">
        <f t="shared" si="6"/>
        <v>0</v>
      </c>
    </row>
    <row r="417" spans="1:12">
      <c r="A417" s="2">
        <v>100415</v>
      </c>
      <c r="B417" s="14">
        <v>45724</v>
      </c>
      <c r="C417" s="2" t="s">
        <v>69</v>
      </c>
      <c r="D417" s="2" t="s">
        <v>177</v>
      </c>
      <c r="E417" s="2" t="s">
        <v>186</v>
      </c>
      <c r="F417" s="2" t="s">
        <v>192</v>
      </c>
      <c r="G417" s="2" t="s">
        <v>207</v>
      </c>
      <c r="H417" s="2">
        <v>3</v>
      </c>
      <c r="I417" s="5">
        <v>5400</v>
      </c>
      <c r="J417" s="10">
        <v>0.05</v>
      </c>
      <c r="K417" s="7">
        <v>1114.56</v>
      </c>
      <c r="L417" t="b">
        <f t="shared" si="6"/>
        <v>0</v>
      </c>
    </row>
    <row r="418" spans="1:12">
      <c r="A418" s="2">
        <v>100416</v>
      </c>
      <c r="B418" s="14">
        <v>45728</v>
      </c>
      <c r="C418" s="2" t="s">
        <v>46</v>
      </c>
      <c r="D418" s="2" t="s">
        <v>169</v>
      </c>
      <c r="E418" s="2" t="s">
        <v>181</v>
      </c>
      <c r="F418" s="2" t="s">
        <v>192</v>
      </c>
      <c r="G418" s="2" t="s">
        <v>203</v>
      </c>
      <c r="H418" s="2">
        <v>2</v>
      </c>
      <c r="I418" s="5">
        <v>4000</v>
      </c>
      <c r="J418" s="10">
        <v>0.15</v>
      </c>
      <c r="K418" s="7">
        <v>848.95</v>
      </c>
      <c r="L418" t="b">
        <f t="shared" si="6"/>
        <v>0</v>
      </c>
    </row>
    <row r="419" spans="1:12">
      <c r="A419" s="2">
        <v>100417</v>
      </c>
      <c r="B419" s="14">
        <v>45747</v>
      </c>
      <c r="C419" s="2" t="s">
        <v>143</v>
      </c>
      <c r="D419" s="2" t="s">
        <v>174</v>
      </c>
      <c r="E419" s="2" t="s">
        <v>187</v>
      </c>
      <c r="F419" s="2" t="s">
        <v>190</v>
      </c>
      <c r="G419" s="2" t="s">
        <v>195</v>
      </c>
      <c r="H419" s="2">
        <v>3</v>
      </c>
      <c r="I419" s="5">
        <v>2400</v>
      </c>
      <c r="J419" s="10">
        <v>0.2</v>
      </c>
      <c r="K419" s="7">
        <v>333.03</v>
      </c>
      <c r="L419" t="b">
        <f t="shared" si="6"/>
        <v>0</v>
      </c>
    </row>
    <row r="420" spans="1:12">
      <c r="A420" s="2">
        <v>100418</v>
      </c>
      <c r="B420" s="14">
        <v>45921</v>
      </c>
      <c r="C420" s="2" t="s">
        <v>78</v>
      </c>
      <c r="D420" s="2" t="s">
        <v>173</v>
      </c>
      <c r="E420" s="2" t="s">
        <v>183</v>
      </c>
      <c r="F420" s="2" t="s">
        <v>189</v>
      </c>
      <c r="G420" s="2" t="s">
        <v>196</v>
      </c>
      <c r="H420" s="2">
        <v>4</v>
      </c>
      <c r="I420" s="5">
        <v>220000</v>
      </c>
      <c r="J420" s="10">
        <v>0.15</v>
      </c>
      <c r="K420" s="7">
        <v>31201.98</v>
      </c>
      <c r="L420" t="b">
        <f t="shared" si="6"/>
        <v>0</v>
      </c>
    </row>
    <row r="421" spans="1:12">
      <c r="A421" s="2">
        <v>100419</v>
      </c>
      <c r="B421" s="14">
        <v>45720</v>
      </c>
      <c r="C421" s="2" t="s">
        <v>94</v>
      </c>
      <c r="D421" s="2" t="s">
        <v>175</v>
      </c>
      <c r="E421" s="2" t="s">
        <v>183</v>
      </c>
      <c r="F421" s="2" t="s">
        <v>190</v>
      </c>
      <c r="G421" s="2" t="s">
        <v>199</v>
      </c>
      <c r="H421" s="2">
        <v>3</v>
      </c>
      <c r="I421" s="5">
        <v>5400</v>
      </c>
      <c r="J421" s="10">
        <v>0.1</v>
      </c>
      <c r="K421" s="7">
        <v>780.81</v>
      </c>
      <c r="L421" t="b">
        <f t="shared" si="6"/>
        <v>0</v>
      </c>
    </row>
    <row r="422" spans="1:12">
      <c r="A422" s="2">
        <v>100420</v>
      </c>
      <c r="B422" s="14">
        <v>45747</v>
      </c>
      <c r="C422" s="2" t="s">
        <v>11</v>
      </c>
      <c r="D422" s="2" t="s">
        <v>164</v>
      </c>
      <c r="E422" s="2" t="s">
        <v>186</v>
      </c>
      <c r="F422" s="2" t="s">
        <v>192</v>
      </c>
      <c r="G422" s="2" t="s">
        <v>203</v>
      </c>
      <c r="H422" s="2">
        <v>3</v>
      </c>
      <c r="I422" s="5">
        <v>6000</v>
      </c>
      <c r="J422" s="10">
        <v>0.1</v>
      </c>
      <c r="K422" s="7">
        <v>658.1</v>
      </c>
      <c r="L422" t="b">
        <f t="shared" si="6"/>
        <v>0</v>
      </c>
    </row>
    <row r="423" spans="1:12">
      <c r="A423" s="2">
        <v>100421</v>
      </c>
      <c r="B423" s="14">
        <v>45772</v>
      </c>
      <c r="C423" s="2" t="s">
        <v>96</v>
      </c>
      <c r="D423" s="2" t="s">
        <v>173</v>
      </c>
      <c r="E423" s="2" t="s">
        <v>184</v>
      </c>
      <c r="F423" s="2" t="s">
        <v>191</v>
      </c>
      <c r="G423" s="2" t="s">
        <v>209</v>
      </c>
      <c r="H423" s="2">
        <v>2</v>
      </c>
      <c r="I423" s="5">
        <v>52000</v>
      </c>
      <c r="J423" s="10">
        <v>0.05</v>
      </c>
      <c r="K423" s="7">
        <v>10823.51</v>
      </c>
      <c r="L423" t="b">
        <f t="shared" si="6"/>
        <v>0</v>
      </c>
    </row>
    <row r="424" spans="1:12">
      <c r="A424" s="2">
        <v>100422</v>
      </c>
      <c r="B424" s="14">
        <v>45762</v>
      </c>
      <c r="C424" s="2" t="s">
        <v>130</v>
      </c>
      <c r="D424" s="2" t="s">
        <v>164</v>
      </c>
      <c r="E424" s="2" t="s">
        <v>186</v>
      </c>
      <c r="F424" s="2" t="s">
        <v>192</v>
      </c>
      <c r="G424" s="2" t="s">
        <v>208</v>
      </c>
      <c r="H424" s="2">
        <v>3</v>
      </c>
      <c r="I424" s="5">
        <v>9600</v>
      </c>
      <c r="J424" s="10">
        <v>0.2</v>
      </c>
      <c r="K424" s="7">
        <v>1540.13</v>
      </c>
      <c r="L424" t="b">
        <f t="shared" si="6"/>
        <v>0</v>
      </c>
    </row>
    <row r="425" spans="1:12">
      <c r="A425" s="2">
        <v>100423</v>
      </c>
      <c r="B425" s="14">
        <v>45853</v>
      </c>
      <c r="C425" s="2" t="s">
        <v>46</v>
      </c>
      <c r="D425" s="2" t="s">
        <v>169</v>
      </c>
      <c r="E425" s="2" t="s">
        <v>186</v>
      </c>
      <c r="F425" s="2" t="s">
        <v>190</v>
      </c>
      <c r="G425" s="2" t="s">
        <v>195</v>
      </c>
      <c r="H425" s="2">
        <v>4</v>
      </c>
      <c r="I425" s="5">
        <v>3200</v>
      </c>
      <c r="J425" s="10">
        <v>0.05</v>
      </c>
      <c r="K425" s="7">
        <v>706.42</v>
      </c>
      <c r="L425" t="b">
        <f t="shared" si="6"/>
        <v>0</v>
      </c>
    </row>
    <row r="426" spans="1:12">
      <c r="A426" s="2">
        <v>100424</v>
      </c>
      <c r="B426" s="14">
        <v>45941</v>
      </c>
      <c r="C426" s="2" t="s">
        <v>119</v>
      </c>
      <c r="D426" s="2" t="s">
        <v>173</v>
      </c>
      <c r="E426" s="2" t="s">
        <v>186</v>
      </c>
      <c r="F426" s="2" t="s">
        <v>191</v>
      </c>
      <c r="G426" s="2" t="s">
        <v>202</v>
      </c>
      <c r="H426" s="2">
        <v>1</v>
      </c>
      <c r="I426" s="5">
        <v>38000</v>
      </c>
      <c r="J426" s="10">
        <v>0.2</v>
      </c>
      <c r="K426" s="7">
        <v>7563.16</v>
      </c>
      <c r="L426" t="b">
        <f t="shared" si="6"/>
        <v>0</v>
      </c>
    </row>
    <row r="427" spans="1:12">
      <c r="A427" s="2">
        <v>100425</v>
      </c>
      <c r="B427" s="14">
        <v>45771</v>
      </c>
      <c r="C427" s="2" t="s">
        <v>46</v>
      </c>
      <c r="D427" s="2" t="s">
        <v>169</v>
      </c>
      <c r="E427" s="2" t="s">
        <v>182</v>
      </c>
      <c r="F427" s="2" t="s">
        <v>190</v>
      </c>
      <c r="G427" s="2" t="s">
        <v>195</v>
      </c>
      <c r="H427" s="2">
        <v>3</v>
      </c>
      <c r="I427" s="5">
        <v>2400</v>
      </c>
      <c r="J427" s="10">
        <v>0.1</v>
      </c>
      <c r="K427" s="7">
        <v>457.84</v>
      </c>
      <c r="L427" t="b">
        <f t="shared" si="6"/>
        <v>0</v>
      </c>
    </row>
    <row r="428" spans="1:12">
      <c r="A428" s="2">
        <v>100426</v>
      </c>
      <c r="B428" s="14">
        <v>45732</v>
      </c>
      <c r="C428" s="2" t="s">
        <v>63</v>
      </c>
      <c r="D428" s="2" t="s">
        <v>167</v>
      </c>
      <c r="E428" s="2" t="s">
        <v>181</v>
      </c>
      <c r="F428" s="2" t="s">
        <v>190</v>
      </c>
      <c r="G428" s="2" t="s">
        <v>201</v>
      </c>
      <c r="H428" s="2">
        <v>4</v>
      </c>
      <c r="I428" s="5">
        <v>6000</v>
      </c>
      <c r="J428" s="10">
        <v>0.2</v>
      </c>
      <c r="K428" s="7">
        <v>948.44</v>
      </c>
      <c r="L428" t="b">
        <f t="shared" si="6"/>
        <v>0</v>
      </c>
    </row>
    <row r="429" spans="1:12">
      <c r="A429" s="2">
        <v>100427</v>
      </c>
      <c r="B429" s="14">
        <v>45785</v>
      </c>
      <c r="C429" s="2" t="s">
        <v>131</v>
      </c>
      <c r="D429" s="2" t="s">
        <v>175</v>
      </c>
      <c r="E429" s="2" t="s">
        <v>188</v>
      </c>
      <c r="F429" s="2" t="s">
        <v>192</v>
      </c>
      <c r="G429" s="2" t="s">
        <v>208</v>
      </c>
      <c r="H429" s="2">
        <v>2</v>
      </c>
      <c r="I429" s="5">
        <v>6400</v>
      </c>
      <c r="J429" s="10">
        <v>0.1</v>
      </c>
      <c r="K429" s="7">
        <v>947.22</v>
      </c>
      <c r="L429" t="b">
        <f t="shared" si="6"/>
        <v>0</v>
      </c>
    </row>
    <row r="430" spans="1:12">
      <c r="A430" s="2">
        <v>100428</v>
      </c>
      <c r="B430" s="14">
        <v>45757</v>
      </c>
      <c r="C430" s="2" t="s">
        <v>152</v>
      </c>
      <c r="D430" s="2" t="s">
        <v>177</v>
      </c>
      <c r="E430" s="2" t="s">
        <v>181</v>
      </c>
      <c r="F430" s="2" t="s">
        <v>189</v>
      </c>
      <c r="G430" s="2" t="s">
        <v>196</v>
      </c>
      <c r="H430" s="2">
        <v>1</v>
      </c>
      <c r="I430" s="5">
        <v>55000</v>
      </c>
      <c r="J430" s="10">
        <v>0.15</v>
      </c>
      <c r="K430" s="7">
        <v>8302.69</v>
      </c>
      <c r="L430" t="b">
        <f t="shared" si="6"/>
        <v>0</v>
      </c>
    </row>
    <row r="431" spans="1:12">
      <c r="A431" s="2">
        <v>100429</v>
      </c>
      <c r="B431" s="14">
        <v>45817</v>
      </c>
      <c r="C431" s="2" t="s">
        <v>103</v>
      </c>
      <c r="D431" s="2" t="s">
        <v>172</v>
      </c>
      <c r="E431" s="2" t="s">
        <v>184</v>
      </c>
      <c r="F431" s="2" t="s">
        <v>191</v>
      </c>
      <c r="G431" s="2" t="s">
        <v>209</v>
      </c>
      <c r="H431" s="2">
        <v>2</v>
      </c>
      <c r="I431" s="5">
        <v>52000</v>
      </c>
      <c r="J431" s="10">
        <v>0.05</v>
      </c>
      <c r="K431" s="7">
        <v>8889.61</v>
      </c>
      <c r="L431" t="b">
        <f t="shared" si="6"/>
        <v>0</v>
      </c>
    </row>
    <row r="432" spans="1:12">
      <c r="A432" s="2">
        <v>100430</v>
      </c>
      <c r="B432" s="14">
        <v>45821</v>
      </c>
      <c r="C432" s="2" t="s">
        <v>137</v>
      </c>
      <c r="D432" s="2" t="s">
        <v>177</v>
      </c>
      <c r="E432" s="2" t="s">
        <v>185</v>
      </c>
      <c r="F432" s="2" t="s">
        <v>191</v>
      </c>
      <c r="G432" s="2" t="s">
        <v>200</v>
      </c>
      <c r="H432" s="2">
        <v>2</v>
      </c>
      <c r="I432" s="5">
        <v>56000</v>
      </c>
      <c r="J432" s="10">
        <v>0.15</v>
      </c>
      <c r="K432" s="7">
        <v>11585.65</v>
      </c>
      <c r="L432" t="b">
        <f t="shared" si="6"/>
        <v>0</v>
      </c>
    </row>
    <row r="433" spans="1:12">
      <c r="A433" s="2">
        <v>100431</v>
      </c>
      <c r="B433" s="14">
        <v>46014</v>
      </c>
      <c r="C433" s="2" t="s">
        <v>40</v>
      </c>
      <c r="D433" s="2" t="s">
        <v>167</v>
      </c>
      <c r="E433" s="2" t="s">
        <v>186</v>
      </c>
      <c r="F433" s="2" t="s">
        <v>189</v>
      </c>
      <c r="G433" s="2" t="s">
        <v>194</v>
      </c>
      <c r="H433" s="2">
        <v>3</v>
      </c>
      <c r="I433" s="5">
        <v>186000</v>
      </c>
      <c r="J433" s="10">
        <v>0.15</v>
      </c>
      <c r="K433" s="7">
        <v>36722.42</v>
      </c>
      <c r="L433" t="b">
        <f t="shared" si="6"/>
        <v>0</v>
      </c>
    </row>
    <row r="434" spans="1:12">
      <c r="A434" s="2">
        <v>100432</v>
      </c>
      <c r="B434" s="14">
        <v>45968</v>
      </c>
      <c r="C434" s="2" t="s">
        <v>98</v>
      </c>
      <c r="D434" s="2" t="s">
        <v>174</v>
      </c>
      <c r="E434" s="2" t="s">
        <v>181</v>
      </c>
      <c r="F434" s="2" t="s">
        <v>192</v>
      </c>
      <c r="G434" s="2" t="s">
        <v>208</v>
      </c>
      <c r="H434" s="2">
        <v>3</v>
      </c>
      <c r="I434" s="5">
        <v>9600</v>
      </c>
      <c r="J434" s="10">
        <v>0.05</v>
      </c>
      <c r="K434" s="7">
        <v>1843.28</v>
      </c>
      <c r="L434" t="b">
        <f t="shared" si="6"/>
        <v>0</v>
      </c>
    </row>
    <row r="435" spans="1:12">
      <c r="A435" s="2">
        <v>100433</v>
      </c>
      <c r="B435" s="14">
        <v>45884</v>
      </c>
      <c r="C435" s="2" t="s">
        <v>113</v>
      </c>
      <c r="D435" s="2" t="s">
        <v>164</v>
      </c>
      <c r="E435" s="2" t="s">
        <v>184</v>
      </c>
      <c r="F435" s="2" t="s">
        <v>190</v>
      </c>
      <c r="G435" s="2" t="s">
        <v>201</v>
      </c>
      <c r="H435" s="2">
        <v>3</v>
      </c>
      <c r="I435" s="5">
        <v>4500</v>
      </c>
      <c r="J435" s="10">
        <v>0.15</v>
      </c>
      <c r="K435" s="7">
        <v>943.44</v>
      </c>
      <c r="L435" t="b">
        <f t="shared" si="6"/>
        <v>0</v>
      </c>
    </row>
    <row r="436" spans="1:12">
      <c r="A436" s="2">
        <v>100434</v>
      </c>
      <c r="B436" s="14">
        <v>45834</v>
      </c>
      <c r="C436" s="2" t="s">
        <v>113</v>
      </c>
      <c r="D436" s="2" t="s">
        <v>164</v>
      </c>
      <c r="E436" s="2" t="s">
        <v>185</v>
      </c>
      <c r="F436" s="2" t="s">
        <v>191</v>
      </c>
      <c r="G436" s="2" t="s">
        <v>197</v>
      </c>
      <c r="H436" s="2">
        <v>2</v>
      </c>
      <c r="I436" s="5">
        <v>116000</v>
      </c>
      <c r="J436" s="10">
        <v>0.15</v>
      </c>
      <c r="K436" s="7">
        <v>21417.23</v>
      </c>
      <c r="L436" t="b">
        <f t="shared" si="6"/>
        <v>0</v>
      </c>
    </row>
    <row r="437" spans="1:12">
      <c r="A437" s="2">
        <v>100435</v>
      </c>
      <c r="B437" s="14">
        <v>45904</v>
      </c>
      <c r="C437" s="2" t="s">
        <v>155</v>
      </c>
      <c r="D437" s="2" t="s">
        <v>174</v>
      </c>
      <c r="E437" s="2" t="s">
        <v>185</v>
      </c>
      <c r="F437" s="2" t="s">
        <v>190</v>
      </c>
      <c r="G437" s="2" t="s">
        <v>204</v>
      </c>
      <c r="H437" s="2">
        <v>1</v>
      </c>
      <c r="I437" s="5">
        <v>500</v>
      </c>
      <c r="J437" s="10">
        <v>0.15</v>
      </c>
      <c r="K437" s="7">
        <v>62.28</v>
      </c>
      <c r="L437" t="b">
        <f t="shared" si="6"/>
        <v>0</v>
      </c>
    </row>
    <row r="438" spans="1:12">
      <c r="A438" s="2">
        <v>100436</v>
      </c>
      <c r="B438" s="14">
        <v>45779</v>
      </c>
      <c r="C438" s="2" t="s">
        <v>146</v>
      </c>
      <c r="D438" s="2" t="s">
        <v>169</v>
      </c>
      <c r="E438" s="2" t="s">
        <v>186</v>
      </c>
      <c r="F438" s="2" t="s">
        <v>191</v>
      </c>
      <c r="G438" s="2" t="s">
        <v>197</v>
      </c>
      <c r="H438" s="2">
        <v>2</v>
      </c>
      <c r="I438" s="5">
        <v>116000</v>
      </c>
      <c r="J438" s="10">
        <v>0.15</v>
      </c>
      <c r="K438" s="7">
        <v>17637.41</v>
      </c>
      <c r="L438" t="b">
        <f t="shared" si="6"/>
        <v>0</v>
      </c>
    </row>
    <row r="439" spans="1:12">
      <c r="A439" s="2">
        <v>100437</v>
      </c>
      <c r="B439" s="14">
        <v>45812</v>
      </c>
      <c r="C439" s="2" t="s">
        <v>27</v>
      </c>
      <c r="D439" s="2" t="s">
        <v>174</v>
      </c>
      <c r="E439" s="2" t="s">
        <v>188</v>
      </c>
      <c r="F439" s="2" t="s">
        <v>191</v>
      </c>
      <c r="G439" s="2" t="s">
        <v>197</v>
      </c>
      <c r="H439" s="2">
        <v>2</v>
      </c>
      <c r="I439" s="5">
        <v>116000</v>
      </c>
      <c r="J439" s="10">
        <v>0.2</v>
      </c>
      <c r="K439" s="7">
        <v>19404.61</v>
      </c>
      <c r="L439" t="b">
        <f t="shared" si="6"/>
        <v>0</v>
      </c>
    </row>
    <row r="440" spans="1:12">
      <c r="A440" s="2">
        <v>100438</v>
      </c>
      <c r="B440" s="14">
        <v>45663</v>
      </c>
      <c r="C440" s="2" t="s">
        <v>143</v>
      </c>
      <c r="D440" s="2" t="s">
        <v>174</v>
      </c>
      <c r="E440" s="2" t="s">
        <v>187</v>
      </c>
      <c r="F440" s="2" t="s">
        <v>189</v>
      </c>
      <c r="G440" s="2" t="s">
        <v>196</v>
      </c>
      <c r="H440" s="2">
        <v>3</v>
      </c>
      <c r="I440" s="5">
        <v>165000</v>
      </c>
      <c r="J440" s="10">
        <v>0.15</v>
      </c>
      <c r="K440" s="7">
        <v>32111.66</v>
      </c>
      <c r="L440" t="b">
        <f t="shared" si="6"/>
        <v>0</v>
      </c>
    </row>
    <row r="441" spans="1:12">
      <c r="A441" s="2">
        <v>100439</v>
      </c>
      <c r="B441" s="14">
        <v>45808</v>
      </c>
      <c r="C441" s="2" t="s">
        <v>139</v>
      </c>
      <c r="D441" s="2" t="s">
        <v>173</v>
      </c>
      <c r="E441" s="2" t="s">
        <v>182</v>
      </c>
      <c r="F441" s="2" t="s">
        <v>191</v>
      </c>
      <c r="G441" s="2" t="s">
        <v>209</v>
      </c>
      <c r="H441" s="2">
        <v>2</v>
      </c>
      <c r="I441" s="5">
        <v>52000</v>
      </c>
      <c r="J441" s="10">
        <v>0.1</v>
      </c>
      <c r="K441" s="7">
        <v>8876.6299999999992</v>
      </c>
      <c r="L441" t="b">
        <f t="shared" si="6"/>
        <v>0</v>
      </c>
    </row>
    <row r="442" spans="1:12">
      <c r="A442" s="2">
        <v>100440</v>
      </c>
      <c r="B442" s="14">
        <v>45907</v>
      </c>
      <c r="C442" s="2" t="s">
        <v>32</v>
      </c>
      <c r="D442" s="2" t="s">
        <v>165</v>
      </c>
      <c r="E442" s="2" t="s">
        <v>181</v>
      </c>
      <c r="F442" s="2" t="s">
        <v>192</v>
      </c>
      <c r="G442" s="2" t="s">
        <v>205</v>
      </c>
      <c r="H442" s="2">
        <v>2</v>
      </c>
      <c r="I442" s="5">
        <v>9000</v>
      </c>
      <c r="J442" s="10">
        <v>0.05</v>
      </c>
      <c r="K442" s="7">
        <v>1196.83</v>
      </c>
      <c r="L442" t="b">
        <f t="shared" si="6"/>
        <v>0</v>
      </c>
    </row>
    <row r="443" spans="1:12">
      <c r="A443" s="2">
        <v>100441</v>
      </c>
      <c r="B443" s="14">
        <v>45999</v>
      </c>
      <c r="C443" s="2" t="s">
        <v>101</v>
      </c>
      <c r="D443" s="2" t="s">
        <v>178</v>
      </c>
      <c r="E443" s="2" t="s">
        <v>185</v>
      </c>
      <c r="F443" s="2" t="s">
        <v>189</v>
      </c>
      <c r="G443" s="2" t="s">
        <v>206</v>
      </c>
      <c r="H443" s="2">
        <v>2</v>
      </c>
      <c r="I443" s="5">
        <v>100000</v>
      </c>
      <c r="J443" s="10">
        <v>0.1</v>
      </c>
      <c r="K443" s="7">
        <v>21579.3</v>
      </c>
      <c r="L443" t="b">
        <f t="shared" si="6"/>
        <v>0</v>
      </c>
    </row>
    <row r="444" spans="1:12">
      <c r="A444" s="2">
        <v>100442</v>
      </c>
      <c r="B444" s="14">
        <v>45810</v>
      </c>
      <c r="C444" s="2" t="s">
        <v>34</v>
      </c>
      <c r="D444" s="2" t="s">
        <v>176</v>
      </c>
      <c r="E444" s="2" t="s">
        <v>181</v>
      </c>
      <c r="F444" s="2" t="s">
        <v>191</v>
      </c>
      <c r="G444" s="2" t="s">
        <v>202</v>
      </c>
      <c r="H444" s="2">
        <v>4</v>
      </c>
      <c r="I444" s="5">
        <v>152000</v>
      </c>
      <c r="J444" s="10">
        <v>0.2</v>
      </c>
      <c r="K444" s="7">
        <v>20202.650000000001</v>
      </c>
      <c r="L444" t="b">
        <f t="shared" si="6"/>
        <v>0</v>
      </c>
    </row>
    <row r="445" spans="1:12">
      <c r="A445" s="2">
        <v>100443</v>
      </c>
      <c r="B445" s="14">
        <v>45925</v>
      </c>
      <c r="C445" s="2" t="s">
        <v>143</v>
      </c>
      <c r="D445" s="2" t="s">
        <v>174</v>
      </c>
      <c r="E445" s="2" t="s">
        <v>187</v>
      </c>
      <c r="F445" s="2" t="s">
        <v>191</v>
      </c>
      <c r="G445" s="2" t="s">
        <v>209</v>
      </c>
      <c r="H445" s="2">
        <v>4</v>
      </c>
      <c r="I445" s="5">
        <v>104000</v>
      </c>
      <c r="J445" s="10">
        <v>0.05</v>
      </c>
      <c r="K445" s="7">
        <v>17293.32</v>
      </c>
      <c r="L445" t="b">
        <f t="shared" si="6"/>
        <v>0</v>
      </c>
    </row>
    <row r="446" spans="1:12">
      <c r="A446" s="2">
        <v>100444</v>
      </c>
      <c r="B446" s="14">
        <v>45695</v>
      </c>
      <c r="C446" s="2" t="s">
        <v>156</v>
      </c>
      <c r="D446" s="2" t="s">
        <v>176</v>
      </c>
      <c r="E446" s="2" t="s">
        <v>182</v>
      </c>
      <c r="F446" s="2" t="s">
        <v>191</v>
      </c>
      <c r="G446" s="2" t="s">
        <v>200</v>
      </c>
      <c r="H446" s="2">
        <v>4</v>
      </c>
      <c r="I446" s="5">
        <v>112000</v>
      </c>
      <c r="J446" s="10">
        <v>0.2</v>
      </c>
      <c r="K446" s="7">
        <v>21013.57</v>
      </c>
      <c r="L446" t="b">
        <f t="shared" si="6"/>
        <v>0</v>
      </c>
    </row>
    <row r="447" spans="1:12">
      <c r="A447" s="2">
        <v>100445</v>
      </c>
      <c r="B447" s="14">
        <v>45670</v>
      </c>
      <c r="C447" s="2" t="s">
        <v>41</v>
      </c>
      <c r="D447" s="2" t="s">
        <v>172</v>
      </c>
      <c r="E447" s="2" t="s">
        <v>187</v>
      </c>
      <c r="F447" s="2" t="s">
        <v>192</v>
      </c>
      <c r="G447" s="2" t="s">
        <v>205</v>
      </c>
      <c r="H447" s="2">
        <v>2</v>
      </c>
      <c r="I447" s="5">
        <v>9000</v>
      </c>
      <c r="J447" s="10">
        <v>0.15</v>
      </c>
      <c r="K447" s="7">
        <v>1128.07</v>
      </c>
      <c r="L447" t="b">
        <f t="shared" si="6"/>
        <v>0</v>
      </c>
    </row>
    <row r="448" spans="1:12">
      <c r="A448" s="2">
        <v>100446</v>
      </c>
      <c r="B448" s="14">
        <v>45818</v>
      </c>
      <c r="C448" s="2" t="s">
        <v>23</v>
      </c>
      <c r="D448" s="2" t="s">
        <v>173</v>
      </c>
      <c r="E448" s="2" t="s">
        <v>182</v>
      </c>
      <c r="F448" s="2" t="s">
        <v>189</v>
      </c>
      <c r="G448" s="2" t="s">
        <v>196</v>
      </c>
      <c r="H448" s="2">
        <v>3</v>
      </c>
      <c r="I448" s="5">
        <v>165000</v>
      </c>
      <c r="J448" s="10">
        <v>0.2</v>
      </c>
      <c r="K448" s="7">
        <v>19214.580000000002</v>
      </c>
      <c r="L448" t="b">
        <f t="shared" si="6"/>
        <v>0</v>
      </c>
    </row>
    <row r="449" spans="1:12">
      <c r="A449" s="2">
        <v>100447</v>
      </c>
      <c r="B449" s="14">
        <v>45785</v>
      </c>
      <c r="C449" s="2" t="s">
        <v>126</v>
      </c>
      <c r="D449" s="2" t="s">
        <v>177</v>
      </c>
      <c r="E449" s="2" t="s">
        <v>183</v>
      </c>
      <c r="F449" s="2" t="s">
        <v>189</v>
      </c>
      <c r="G449" s="2" t="s">
        <v>206</v>
      </c>
      <c r="H449" s="2">
        <v>3</v>
      </c>
      <c r="I449" s="5">
        <v>150000</v>
      </c>
      <c r="J449" s="10">
        <v>0.15</v>
      </c>
      <c r="K449" s="7">
        <v>15797.68</v>
      </c>
      <c r="L449" t="b">
        <f t="shared" si="6"/>
        <v>0</v>
      </c>
    </row>
    <row r="450" spans="1:12">
      <c r="A450" s="2">
        <v>100448</v>
      </c>
      <c r="B450" s="14">
        <v>46012</v>
      </c>
      <c r="C450" s="2" t="s">
        <v>27</v>
      </c>
      <c r="D450" s="2" t="s">
        <v>174</v>
      </c>
      <c r="E450" s="2" t="s">
        <v>182</v>
      </c>
      <c r="F450" s="2" t="s">
        <v>191</v>
      </c>
      <c r="G450" s="2" t="s">
        <v>200</v>
      </c>
      <c r="H450" s="2">
        <v>3</v>
      </c>
      <c r="I450" s="5">
        <v>84000</v>
      </c>
      <c r="J450" s="10">
        <v>0.15</v>
      </c>
      <c r="K450" s="7">
        <v>17602.939999999999</v>
      </c>
      <c r="L450" t="b">
        <f t="shared" si="6"/>
        <v>0</v>
      </c>
    </row>
    <row r="451" spans="1:12">
      <c r="A451" s="2">
        <v>100449</v>
      </c>
      <c r="B451" s="14">
        <v>46018</v>
      </c>
      <c r="C451" s="2" t="s">
        <v>129</v>
      </c>
      <c r="D451" s="2" t="s">
        <v>169</v>
      </c>
      <c r="E451" s="2" t="s">
        <v>186</v>
      </c>
      <c r="F451" s="2" t="s">
        <v>192</v>
      </c>
      <c r="G451" s="2" t="s">
        <v>208</v>
      </c>
      <c r="H451" s="2">
        <v>3</v>
      </c>
      <c r="I451" s="5">
        <v>9600</v>
      </c>
      <c r="J451" s="10">
        <v>0.05</v>
      </c>
      <c r="K451" s="7">
        <v>1168.3699999999999</v>
      </c>
      <c r="L451" t="b">
        <f t="shared" ref="L451:L514" si="7">COUNTIF(A:A, A451) &gt; 1</f>
        <v>0</v>
      </c>
    </row>
    <row r="452" spans="1:12">
      <c r="A452" s="2">
        <v>100450</v>
      </c>
      <c r="B452" s="14">
        <v>45943</v>
      </c>
      <c r="C452" s="2" t="s">
        <v>106</v>
      </c>
      <c r="D452" s="2" t="s">
        <v>170</v>
      </c>
      <c r="E452" s="2" t="s">
        <v>188</v>
      </c>
      <c r="F452" s="2" t="s">
        <v>192</v>
      </c>
      <c r="G452" s="2" t="s">
        <v>207</v>
      </c>
      <c r="H452" s="2">
        <v>3</v>
      </c>
      <c r="I452" s="5">
        <v>5400</v>
      </c>
      <c r="J452" s="10">
        <v>0.05</v>
      </c>
      <c r="K452" s="7">
        <v>1266.06</v>
      </c>
      <c r="L452" t="b">
        <f t="shared" si="7"/>
        <v>0</v>
      </c>
    </row>
    <row r="453" spans="1:12">
      <c r="A453" s="2">
        <v>100451</v>
      </c>
      <c r="B453" s="14">
        <v>45930</v>
      </c>
      <c r="C453" s="2" t="s">
        <v>32</v>
      </c>
      <c r="D453" s="2" t="s">
        <v>165</v>
      </c>
      <c r="E453" s="2" t="s">
        <v>187</v>
      </c>
      <c r="F453" s="2" t="s">
        <v>189</v>
      </c>
      <c r="G453" s="2" t="s">
        <v>206</v>
      </c>
      <c r="H453" s="2">
        <v>4</v>
      </c>
      <c r="I453" s="5">
        <v>200000</v>
      </c>
      <c r="J453" s="10">
        <v>0.1</v>
      </c>
      <c r="K453" s="7">
        <v>43548.39</v>
      </c>
      <c r="L453" t="b">
        <f t="shared" si="7"/>
        <v>0</v>
      </c>
    </row>
    <row r="454" spans="1:12">
      <c r="A454" s="2">
        <v>100452</v>
      </c>
      <c r="B454" s="14">
        <v>45719</v>
      </c>
      <c r="C454" s="2" t="s">
        <v>107</v>
      </c>
      <c r="D454" s="2" t="s">
        <v>171</v>
      </c>
      <c r="E454" s="2" t="s">
        <v>185</v>
      </c>
      <c r="F454" s="2" t="s">
        <v>190</v>
      </c>
      <c r="G454" s="2" t="s">
        <v>199</v>
      </c>
      <c r="H454" s="2">
        <v>3</v>
      </c>
      <c r="I454" s="5">
        <v>5400</v>
      </c>
      <c r="J454" s="10">
        <v>0.1</v>
      </c>
      <c r="K454" s="7">
        <v>628.08000000000004</v>
      </c>
      <c r="L454" t="b">
        <f t="shared" si="7"/>
        <v>0</v>
      </c>
    </row>
    <row r="455" spans="1:12">
      <c r="A455" s="2">
        <v>100453</v>
      </c>
      <c r="B455" s="14">
        <v>45741</v>
      </c>
      <c r="C455" s="2" t="s">
        <v>150</v>
      </c>
      <c r="D455" s="2" t="s">
        <v>176</v>
      </c>
      <c r="E455" s="2" t="s">
        <v>186</v>
      </c>
      <c r="F455" s="2" t="s">
        <v>192</v>
      </c>
      <c r="G455" s="2" t="s">
        <v>205</v>
      </c>
      <c r="H455" s="2">
        <v>2</v>
      </c>
      <c r="I455" s="5">
        <v>9000</v>
      </c>
      <c r="J455" s="10">
        <v>0.15</v>
      </c>
      <c r="K455" s="7">
        <v>1384.53</v>
      </c>
      <c r="L455" t="b">
        <f t="shared" si="7"/>
        <v>0</v>
      </c>
    </row>
    <row r="456" spans="1:12">
      <c r="A456" s="2">
        <v>100454</v>
      </c>
      <c r="B456" s="14">
        <v>45785</v>
      </c>
      <c r="C456" s="2" t="s">
        <v>125</v>
      </c>
      <c r="D456" s="2" t="s">
        <v>176</v>
      </c>
      <c r="E456" s="2" t="s">
        <v>183</v>
      </c>
      <c r="F456" s="2" t="s">
        <v>191</v>
      </c>
      <c r="G456" s="2" t="s">
        <v>209</v>
      </c>
      <c r="H456" s="2">
        <v>2</v>
      </c>
      <c r="I456" s="5">
        <v>52000</v>
      </c>
      <c r="J456" s="10">
        <v>0.2</v>
      </c>
      <c r="K456" s="7">
        <v>5897.79</v>
      </c>
      <c r="L456" t="b">
        <f t="shared" si="7"/>
        <v>0</v>
      </c>
    </row>
    <row r="457" spans="1:12">
      <c r="A457" s="2">
        <v>100455</v>
      </c>
      <c r="B457" s="14">
        <v>45881</v>
      </c>
      <c r="C457" s="2" t="s">
        <v>129</v>
      </c>
      <c r="D457" s="2" t="s">
        <v>169</v>
      </c>
      <c r="E457" s="2" t="s">
        <v>188</v>
      </c>
      <c r="F457" s="2" t="s">
        <v>189</v>
      </c>
      <c r="G457" s="2" t="s">
        <v>198</v>
      </c>
      <c r="H457" s="2">
        <v>3</v>
      </c>
      <c r="I457" s="5">
        <v>135000</v>
      </c>
      <c r="J457" s="10">
        <v>0.05</v>
      </c>
      <c r="K457" s="7">
        <v>28049.3</v>
      </c>
      <c r="L457" t="b">
        <f t="shared" si="7"/>
        <v>0</v>
      </c>
    </row>
    <row r="458" spans="1:12">
      <c r="A458" s="2">
        <v>100456</v>
      </c>
      <c r="B458" s="14">
        <v>45815</v>
      </c>
      <c r="C458" s="2" t="s">
        <v>146</v>
      </c>
      <c r="D458" s="2" t="s">
        <v>169</v>
      </c>
      <c r="E458" s="2" t="s">
        <v>181</v>
      </c>
      <c r="F458" s="2" t="s">
        <v>192</v>
      </c>
      <c r="G458" s="2" t="s">
        <v>207</v>
      </c>
      <c r="H458" s="2">
        <v>4</v>
      </c>
      <c r="I458" s="5">
        <v>7200</v>
      </c>
      <c r="J458" s="10">
        <v>0.2</v>
      </c>
      <c r="K458" s="7">
        <v>899.64</v>
      </c>
      <c r="L458" t="b">
        <f t="shared" si="7"/>
        <v>0</v>
      </c>
    </row>
    <row r="459" spans="1:12">
      <c r="A459" s="2">
        <v>100457</v>
      </c>
      <c r="B459" s="14">
        <v>45676</v>
      </c>
      <c r="C459" s="2" t="s">
        <v>26</v>
      </c>
      <c r="D459" s="2" t="s">
        <v>166</v>
      </c>
      <c r="E459" s="2" t="s">
        <v>186</v>
      </c>
      <c r="F459" s="2" t="s">
        <v>192</v>
      </c>
      <c r="G459" s="2" t="s">
        <v>208</v>
      </c>
      <c r="H459" s="2">
        <v>2</v>
      </c>
      <c r="I459" s="5">
        <v>6400</v>
      </c>
      <c r="J459" s="10">
        <v>0.2</v>
      </c>
      <c r="K459" s="7">
        <v>813.67</v>
      </c>
      <c r="L459" t="b">
        <f t="shared" si="7"/>
        <v>0</v>
      </c>
    </row>
    <row r="460" spans="1:12">
      <c r="A460" s="2">
        <v>100458</v>
      </c>
      <c r="B460" s="14">
        <v>45834</v>
      </c>
      <c r="C460" s="2" t="s">
        <v>85</v>
      </c>
      <c r="D460" s="2" t="s">
        <v>166</v>
      </c>
      <c r="E460" s="2" t="s">
        <v>187</v>
      </c>
      <c r="F460" s="2" t="s">
        <v>191</v>
      </c>
      <c r="G460" s="2" t="s">
        <v>209</v>
      </c>
      <c r="H460" s="2">
        <v>4</v>
      </c>
      <c r="I460" s="5">
        <v>104000</v>
      </c>
      <c r="J460" s="10">
        <v>0.1</v>
      </c>
      <c r="K460" s="7">
        <v>14352.64</v>
      </c>
      <c r="L460" t="b">
        <f t="shared" si="7"/>
        <v>0</v>
      </c>
    </row>
    <row r="461" spans="1:12">
      <c r="A461" s="2">
        <v>100459</v>
      </c>
      <c r="B461" s="14">
        <v>45934</v>
      </c>
      <c r="C461" s="2" t="s">
        <v>64</v>
      </c>
      <c r="D461" s="2" t="s">
        <v>171</v>
      </c>
      <c r="E461" s="2" t="s">
        <v>184</v>
      </c>
      <c r="F461" s="2" t="s">
        <v>189</v>
      </c>
      <c r="G461" s="2" t="s">
        <v>198</v>
      </c>
      <c r="H461" s="2">
        <v>1</v>
      </c>
      <c r="I461" s="5">
        <v>45000</v>
      </c>
      <c r="J461" s="10">
        <v>0.05</v>
      </c>
      <c r="K461" s="7">
        <v>5477.7</v>
      </c>
      <c r="L461" t="b">
        <f t="shared" si="7"/>
        <v>0</v>
      </c>
    </row>
    <row r="462" spans="1:12">
      <c r="A462" s="2">
        <v>100460</v>
      </c>
      <c r="B462" s="14">
        <v>45890</v>
      </c>
      <c r="C462" s="2" t="s">
        <v>20</v>
      </c>
      <c r="D462" s="2" t="s">
        <v>171</v>
      </c>
      <c r="E462" s="2" t="s">
        <v>184</v>
      </c>
      <c r="F462" s="2" t="s">
        <v>189</v>
      </c>
      <c r="G462" s="2" t="s">
        <v>194</v>
      </c>
      <c r="H462" s="2">
        <v>2</v>
      </c>
      <c r="I462" s="5">
        <v>124000</v>
      </c>
      <c r="J462" s="10">
        <v>0.2</v>
      </c>
      <c r="K462" s="7">
        <v>13798.71</v>
      </c>
      <c r="L462" t="b">
        <f t="shared" si="7"/>
        <v>0</v>
      </c>
    </row>
    <row r="463" spans="1:12">
      <c r="A463" s="2">
        <v>100461</v>
      </c>
      <c r="B463" s="14">
        <v>45733</v>
      </c>
      <c r="C463" s="2" t="s">
        <v>119</v>
      </c>
      <c r="D463" s="2" t="s">
        <v>173</v>
      </c>
      <c r="E463" s="2" t="s">
        <v>185</v>
      </c>
      <c r="F463" s="2" t="s">
        <v>192</v>
      </c>
      <c r="G463" s="2" t="s">
        <v>205</v>
      </c>
      <c r="H463" s="2">
        <v>3</v>
      </c>
      <c r="I463" s="5">
        <v>13500</v>
      </c>
      <c r="J463" s="10">
        <v>0.2</v>
      </c>
      <c r="K463" s="7">
        <v>1513.52</v>
      </c>
      <c r="L463" t="b">
        <f t="shared" si="7"/>
        <v>0</v>
      </c>
    </row>
    <row r="464" spans="1:12">
      <c r="A464" s="2">
        <v>100462</v>
      </c>
      <c r="B464" s="14">
        <v>45922</v>
      </c>
      <c r="C464" s="2" t="s">
        <v>67</v>
      </c>
      <c r="D464" s="2" t="s">
        <v>171</v>
      </c>
      <c r="E464" s="2" t="s">
        <v>182</v>
      </c>
      <c r="F464" s="2" t="s">
        <v>190</v>
      </c>
      <c r="G464" s="2" t="s">
        <v>199</v>
      </c>
      <c r="H464" s="2">
        <v>2</v>
      </c>
      <c r="I464" s="5">
        <v>3600</v>
      </c>
      <c r="J464" s="10">
        <v>0.15</v>
      </c>
      <c r="K464" s="7">
        <v>487.5</v>
      </c>
      <c r="L464" t="b">
        <f t="shared" si="7"/>
        <v>0</v>
      </c>
    </row>
    <row r="465" spans="1:12">
      <c r="A465" s="2">
        <v>100463</v>
      </c>
      <c r="B465" s="14">
        <v>45971</v>
      </c>
      <c r="C465" s="2" t="s">
        <v>118</v>
      </c>
      <c r="D465" s="2" t="s">
        <v>166</v>
      </c>
      <c r="E465" s="2" t="s">
        <v>185</v>
      </c>
      <c r="F465" s="2" t="s">
        <v>192</v>
      </c>
      <c r="G465" s="2" t="s">
        <v>205</v>
      </c>
      <c r="H465" s="2">
        <v>4</v>
      </c>
      <c r="I465" s="5">
        <v>18000</v>
      </c>
      <c r="J465" s="10">
        <v>0.1</v>
      </c>
      <c r="K465" s="7">
        <v>2232.83</v>
      </c>
      <c r="L465" t="b">
        <f t="shared" si="7"/>
        <v>0</v>
      </c>
    </row>
    <row r="466" spans="1:12">
      <c r="A466" s="2">
        <v>100464</v>
      </c>
      <c r="B466" s="14">
        <v>45863</v>
      </c>
      <c r="C466" s="2" t="s">
        <v>120</v>
      </c>
      <c r="D466" s="2" t="s">
        <v>175</v>
      </c>
      <c r="E466" s="2" t="s">
        <v>184</v>
      </c>
      <c r="F466" s="2" t="s">
        <v>191</v>
      </c>
      <c r="G466" s="2" t="s">
        <v>197</v>
      </c>
      <c r="H466" s="2">
        <v>4</v>
      </c>
      <c r="I466" s="5">
        <v>232000</v>
      </c>
      <c r="J466" s="10">
        <v>0.2</v>
      </c>
      <c r="K466" s="7">
        <v>25748.33</v>
      </c>
      <c r="L466" t="b">
        <f t="shared" si="7"/>
        <v>0</v>
      </c>
    </row>
    <row r="467" spans="1:12">
      <c r="A467" s="2">
        <v>100465</v>
      </c>
      <c r="B467" s="14">
        <v>45969</v>
      </c>
      <c r="C467" s="2" t="s">
        <v>19</v>
      </c>
      <c r="D467" s="2" t="s">
        <v>165</v>
      </c>
      <c r="E467" s="2" t="s">
        <v>181</v>
      </c>
      <c r="F467" s="2" t="s">
        <v>190</v>
      </c>
      <c r="G467" s="2" t="s">
        <v>204</v>
      </c>
      <c r="H467" s="2">
        <v>4</v>
      </c>
      <c r="I467" s="5">
        <v>2000</v>
      </c>
      <c r="J467" s="10">
        <v>0.2</v>
      </c>
      <c r="K467" s="7">
        <v>293.47000000000003</v>
      </c>
      <c r="L467" t="b">
        <f t="shared" si="7"/>
        <v>0</v>
      </c>
    </row>
    <row r="468" spans="1:12">
      <c r="A468" s="2">
        <v>100466</v>
      </c>
      <c r="B468" s="14">
        <v>45709</v>
      </c>
      <c r="C468" s="2" t="s">
        <v>53</v>
      </c>
      <c r="D468" s="2" t="s">
        <v>171</v>
      </c>
      <c r="E468" s="2" t="s">
        <v>183</v>
      </c>
      <c r="F468" s="2" t="s">
        <v>189</v>
      </c>
      <c r="G468" s="2" t="s">
        <v>206</v>
      </c>
      <c r="H468" s="2">
        <v>3</v>
      </c>
      <c r="I468" s="5">
        <v>150000</v>
      </c>
      <c r="J468" s="10">
        <v>0.15</v>
      </c>
      <c r="K468" s="7">
        <v>20379.63</v>
      </c>
      <c r="L468" t="b">
        <f t="shared" si="7"/>
        <v>0</v>
      </c>
    </row>
    <row r="469" spans="1:12">
      <c r="A469" s="2">
        <v>100467</v>
      </c>
      <c r="B469" s="14">
        <v>45789</v>
      </c>
      <c r="C469" s="2" t="s">
        <v>31</v>
      </c>
      <c r="D469" s="2" t="s">
        <v>168</v>
      </c>
      <c r="E469" s="2" t="s">
        <v>183</v>
      </c>
      <c r="F469" s="2" t="s">
        <v>189</v>
      </c>
      <c r="G469" s="2" t="s">
        <v>194</v>
      </c>
      <c r="H469" s="2">
        <v>1</v>
      </c>
      <c r="I469" s="5">
        <v>62000</v>
      </c>
      <c r="J469" s="10">
        <v>0.2</v>
      </c>
      <c r="K469" s="7">
        <v>8297.84</v>
      </c>
      <c r="L469" t="b">
        <f t="shared" si="7"/>
        <v>0</v>
      </c>
    </row>
    <row r="470" spans="1:12">
      <c r="A470" s="2">
        <v>100468</v>
      </c>
      <c r="B470" s="14">
        <v>45801</v>
      </c>
      <c r="C470" s="2" t="s">
        <v>141</v>
      </c>
      <c r="D470" s="2" t="s">
        <v>178</v>
      </c>
      <c r="E470" s="2" t="s">
        <v>187</v>
      </c>
      <c r="F470" s="2" t="s">
        <v>191</v>
      </c>
      <c r="G470" s="2" t="s">
        <v>200</v>
      </c>
      <c r="H470" s="2">
        <v>1</v>
      </c>
      <c r="I470" s="5">
        <v>28000</v>
      </c>
      <c r="J470" s="10">
        <v>0.2</v>
      </c>
      <c r="K470" s="7">
        <v>4281.5600000000004</v>
      </c>
      <c r="L470" t="b">
        <f t="shared" si="7"/>
        <v>0</v>
      </c>
    </row>
    <row r="471" spans="1:12">
      <c r="A471" s="2">
        <v>100469</v>
      </c>
      <c r="B471" s="14">
        <v>45933</v>
      </c>
      <c r="C471" s="2" t="s">
        <v>36</v>
      </c>
      <c r="D471" s="2" t="s">
        <v>168</v>
      </c>
      <c r="E471" s="2" t="s">
        <v>183</v>
      </c>
      <c r="F471" s="2" t="s">
        <v>192</v>
      </c>
      <c r="G471" s="2" t="s">
        <v>207</v>
      </c>
      <c r="H471" s="2">
        <v>1</v>
      </c>
      <c r="I471" s="5">
        <v>1800</v>
      </c>
      <c r="J471" s="10">
        <v>0.15</v>
      </c>
      <c r="K471" s="7">
        <v>223.23</v>
      </c>
      <c r="L471" t="b">
        <f t="shared" si="7"/>
        <v>0</v>
      </c>
    </row>
    <row r="472" spans="1:12">
      <c r="A472" s="2">
        <v>100470</v>
      </c>
      <c r="B472" s="14">
        <v>45904</v>
      </c>
      <c r="C472" s="2" t="s">
        <v>116</v>
      </c>
      <c r="D472" s="2" t="s">
        <v>164</v>
      </c>
      <c r="E472" s="2" t="s">
        <v>187</v>
      </c>
      <c r="F472" s="2" t="s">
        <v>190</v>
      </c>
      <c r="G472" s="2" t="s">
        <v>195</v>
      </c>
      <c r="H472" s="2">
        <v>3</v>
      </c>
      <c r="I472" s="5">
        <v>2400</v>
      </c>
      <c r="J472" s="10">
        <v>0.15</v>
      </c>
      <c r="K472" s="7">
        <v>393.99</v>
      </c>
      <c r="L472" t="b">
        <f t="shared" si="7"/>
        <v>0</v>
      </c>
    </row>
    <row r="473" spans="1:12">
      <c r="A473" s="2">
        <v>100471</v>
      </c>
      <c r="B473" s="14">
        <v>45682</v>
      </c>
      <c r="C473" s="2" t="s">
        <v>17</v>
      </c>
      <c r="D473" s="2" t="s">
        <v>169</v>
      </c>
      <c r="E473" s="2" t="s">
        <v>186</v>
      </c>
      <c r="F473" s="2" t="s">
        <v>192</v>
      </c>
      <c r="G473" s="2" t="s">
        <v>203</v>
      </c>
      <c r="H473" s="2">
        <v>4</v>
      </c>
      <c r="I473" s="5">
        <v>8000</v>
      </c>
      <c r="J473" s="10">
        <v>0.2</v>
      </c>
      <c r="K473" s="7">
        <v>781.16</v>
      </c>
      <c r="L473" t="b">
        <f t="shared" si="7"/>
        <v>0</v>
      </c>
    </row>
    <row r="474" spans="1:12">
      <c r="A474" s="2">
        <v>100472</v>
      </c>
      <c r="B474" s="14">
        <v>45710</v>
      </c>
      <c r="C474" s="2" t="s">
        <v>99</v>
      </c>
      <c r="D474" s="2" t="s">
        <v>178</v>
      </c>
      <c r="E474" s="2" t="s">
        <v>187</v>
      </c>
      <c r="F474" s="2" t="s">
        <v>189</v>
      </c>
      <c r="G474" s="2" t="s">
        <v>194</v>
      </c>
      <c r="H474" s="2">
        <v>1</v>
      </c>
      <c r="I474" s="5">
        <v>62000</v>
      </c>
      <c r="J474" s="10">
        <v>0.2</v>
      </c>
      <c r="K474" s="7">
        <v>10182.24</v>
      </c>
      <c r="L474" t="b">
        <f t="shared" si="7"/>
        <v>0</v>
      </c>
    </row>
    <row r="475" spans="1:12">
      <c r="A475" s="2">
        <v>100473</v>
      </c>
      <c r="B475" s="14">
        <v>45808</v>
      </c>
      <c r="C475" s="2" t="s">
        <v>33</v>
      </c>
      <c r="D475" s="2" t="s">
        <v>175</v>
      </c>
      <c r="E475" s="2" t="s">
        <v>186</v>
      </c>
      <c r="F475" s="2" t="s">
        <v>192</v>
      </c>
      <c r="G475" s="2" t="s">
        <v>207</v>
      </c>
      <c r="H475" s="2">
        <v>2</v>
      </c>
      <c r="I475" s="5">
        <v>3600</v>
      </c>
      <c r="J475" s="10">
        <v>0.15</v>
      </c>
      <c r="K475" s="7">
        <v>628.99</v>
      </c>
      <c r="L475" t="b">
        <f t="shared" si="7"/>
        <v>0</v>
      </c>
    </row>
    <row r="476" spans="1:12">
      <c r="A476" s="2">
        <v>100474</v>
      </c>
      <c r="B476" s="14">
        <v>45801</v>
      </c>
      <c r="C476" s="2" t="s">
        <v>64</v>
      </c>
      <c r="D476" s="2" t="s">
        <v>171</v>
      </c>
      <c r="E476" s="2" t="s">
        <v>187</v>
      </c>
      <c r="F476" s="2" t="s">
        <v>189</v>
      </c>
      <c r="G476" s="2" t="s">
        <v>196</v>
      </c>
      <c r="H476" s="2">
        <v>4</v>
      </c>
      <c r="I476" s="5">
        <v>220000</v>
      </c>
      <c r="J476" s="10">
        <v>0.1</v>
      </c>
      <c r="K476" s="7">
        <v>26932.01</v>
      </c>
      <c r="L476" t="b">
        <f t="shared" si="7"/>
        <v>0</v>
      </c>
    </row>
    <row r="477" spans="1:12">
      <c r="A477" s="2">
        <v>100475</v>
      </c>
      <c r="B477" s="14">
        <v>45714</v>
      </c>
      <c r="C477" s="2" t="s">
        <v>125</v>
      </c>
      <c r="D477" s="2" t="s">
        <v>176</v>
      </c>
      <c r="E477" s="2" t="s">
        <v>184</v>
      </c>
      <c r="F477" s="2" t="s">
        <v>190</v>
      </c>
      <c r="G477" s="2" t="s">
        <v>204</v>
      </c>
      <c r="H477" s="2">
        <v>3</v>
      </c>
      <c r="I477" s="5">
        <v>1500</v>
      </c>
      <c r="J477" s="10">
        <v>0.05</v>
      </c>
      <c r="K477" s="7">
        <v>266.19</v>
      </c>
      <c r="L477" t="b">
        <f t="shared" si="7"/>
        <v>0</v>
      </c>
    </row>
    <row r="478" spans="1:12">
      <c r="A478" s="2">
        <v>100476</v>
      </c>
      <c r="B478" s="14">
        <v>45871</v>
      </c>
      <c r="C478" s="2" t="s">
        <v>68</v>
      </c>
      <c r="D478" s="2" t="s">
        <v>175</v>
      </c>
      <c r="E478" s="2" t="s">
        <v>184</v>
      </c>
      <c r="F478" s="2" t="s">
        <v>192</v>
      </c>
      <c r="G478" s="2" t="s">
        <v>203</v>
      </c>
      <c r="H478" s="2">
        <v>1</v>
      </c>
      <c r="I478" s="5">
        <v>2000</v>
      </c>
      <c r="J478" s="10">
        <v>0.05</v>
      </c>
      <c r="K478" s="7">
        <v>430.01</v>
      </c>
      <c r="L478" t="b">
        <f t="shared" si="7"/>
        <v>0</v>
      </c>
    </row>
    <row r="479" spans="1:12">
      <c r="A479" s="2">
        <v>100477</v>
      </c>
      <c r="B479" s="14">
        <v>45766</v>
      </c>
      <c r="C479" s="2" t="s">
        <v>127</v>
      </c>
      <c r="D479" s="2" t="s">
        <v>170</v>
      </c>
      <c r="E479" s="2" t="s">
        <v>182</v>
      </c>
      <c r="F479" s="2" t="s">
        <v>191</v>
      </c>
      <c r="G479" s="2" t="s">
        <v>202</v>
      </c>
      <c r="H479" s="2">
        <v>1</v>
      </c>
      <c r="I479" s="5">
        <v>38000</v>
      </c>
      <c r="J479" s="10">
        <v>0.05</v>
      </c>
      <c r="K479" s="7">
        <v>6739.03</v>
      </c>
      <c r="L479" t="b">
        <f t="shared" si="7"/>
        <v>0</v>
      </c>
    </row>
    <row r="480" spans="1:12">
      <c r="A480" s="2">
        <v>100478</v>
      </c>
      <c r="B480" s="14">
        <v>45838</v>
      </c>
      <c r="C480" s="2" t="s">
        <v>126</v>
      </c>
      <c r="D480" s="2" t="s">
        <v>177</v>
      </c>
      <c r="E480" s="2" t="s">
        <v>186</v>
      </c>
      <c r="F480" s="2" t="s">
        <v>191</v>
      </c>
      <c r="G480" s="2" t="s">
        <v>202</v>
      </c>
      <c r="H480" s="2">
        <v>2</v>
      </c>
      <c r="I480" s="5">
        <v>76000</v>
      </c>
      <c r="J480" s="10">
        <v>0.2</v>
      </c>
      <c r="K480" s="7">
        <v>14964.74</v>
      </c>
      <c r="L480" t="b">
        <f t="shared" si="7"/>
        <v>0</v>
      </c>
    </row>
    <row r="481" spans="1:12">
      <c r="A481" s="2">
        <v>100479</v>
      </c>
      <c r="B481" s="14">
        <v>45963</v>
      </c>
      <c r="C481" s="2" t="s">
        <v>74</v>
      </c>
      <c r="D481" s="2" t="s">
        <v>174</v>
      </c>
      <c r="E481" s="2" t="s">
        <v>188</v>
      </c>
      <c r="F481" s="2" t="s">
        <v>192</v>
      </c>
      <c r="G481" s="2" t="s">
        <v>203</v>
      </c>
      <c r="H481" s="2">
        <v>1</v>
      </c>
      <c r="I481" s="5">
        <v>2000</v>
      </c>
      <c r="J481" s="10">
        <v>0.2</v>
      </c>
      <c r="K481" s="7">
        <v>250.12</v>
      </c>
      <c r="L481" t="b">
        <f t="shared" si="7"/>
        <v>0</v>
      </c>
    </row>
    <row r="482" spans="1:12">
      <c r="A482" s="2">
        <v>100480</v>
      </c>
      <c r="B482" s="14">
        <v>45784</v>
      </c>
      <c r="C482" s="2" t="s">
        <v>116</v>
      </c>
      <c r="D482" s="2" t="s">
        <v>164</v>
      </c>
      <c r="E482" s="2" t="s">
        <v>186</v>
      </c>
      <c r="F482" s="2" t="s">
        <v>190</v>
      </c>
      <c r="G482" s="2" t="s">
        <v>199</v>
      </c>
      <c r="H482" s="2">
        <v>4</v>
      </c>
      <c r="I482" s="5">
        <v>7200</v>
      </c>
      <c r="J482" s="10">
        <v>0.2</v>
      </c>
      <c r="K482" s="7">
        <v>814.98</v>
      </c>
      <c r="L482" t="b">
        <f t="shared" si="7"/>
        <v>0</v>
      </c>
    </row>
    <row r="483" spans="1:12">
      <c r="A483" s="2">
        <v>100481</v>
      </c>
      <c r="B483" s="14">
        <v>45969</v>
      </c>
      <c r="C483" s="2" t="s">
        <v>35</v>
      </c>
      <c r="D483" s="2" t="s">
        <v>177</v>
      </c>
      <c r="E483" s="2" t="s">
        <v>187</v>
      </c>
      <c r="F483" s="2" t="s">
        <v>190</v>
      </c>
      <c r="G483" s="2" t="s">
        <v>204</v>
      </c>
      <c r="H483" s="2">
        <v>3</v>
      </c>
      <c r="I483" s="5">
        <v>1500</v>
      </c>
      <c r="J483" s="10">
        <v>0.05</v>
      </c>
      <c r="K483" s="7">
        <v>246.31</v>
      </c>
      <c r="L483" t="b">
        <f t="shared" si="7"/>
        <v>0</v>
      </c>
    </row>
    <row r="484" spans="1:12">
      <c r="A484" s="2">
        <v>100482</v>
      </c>
      <c r="B484" s="14">
        <v>45693</v>
      </c>
      <c r="C484" s="2" t="s">
        <v>157</v>
      </c>
      <c r="D484" s="2" t="s">
        <v>170</v>
      </c>
      <c r="E484" s="2" t="s">
        <v>187</v>
      </c>
      <c r="F484" s="2" t="s">
        <v>192</v>
      </c>
      <c r="G484" s="2" t="s">
        <v>205</v>
      </c>
      <c r="H484" s="2">
        <v>4</v>
      </c>
      <c r="I484" s="5">
        <v>18000</v>
      </c>
      <c r="J484" s="10">
        <v>0.05</v>
      </c>
      <c r="K484" s="7">
        <v>3333.81</v>
      </c>
      <c r="L484" t="b">
        <f t="shared" si="7"/>
        <v>0</v>
      </c>
    </row>
    <row r="485" spans="1:12">
      <c r="A485" s="2">
        <v>100483</v>
      </c>
      <c r="B485" s="14">
        <v>45790</v>
      </c>
      <c r="C485" s="2" t="s">
        <v>114</v>
      </c>
      <c r="D485" s="2" t="s">
        <v>169</v>
      </c>
      <c r="E485" s="2" t="s">
        <v>188</v>
      </c>
      <c r="F485" s="2" t="s">
        <v>190</v>
      </c>
      <c r="G485" s="2" t="s">
        <v>204</v>
      </c>
      <c r="H485" s="2">
        <v>2</v>
      </c>
      <c r="I485" s="5">
        <v>1000</v>
      </c>
      <c r="J485" s="10">
        <v>0.05</v>
      </c>
      <c r="K485" s="7">
        <v>211.03</v>
      </c>
      <c r="L485" t="b">
        <f t="shared" si="7"/>
        <v>0</v>
      </c>
    </row>
    <row r="486" spans="1:12">
      <c r="A486" s="2">
        <v>100484</v>
      </c>
      <c r="B486" s="14">
        <v>45997</v>
      </c>
      <c r="C486" s="2" t="s">
        <v>45</v>
      </c>
      <c r="D486" s="2" t="s">
        <v>165</v>
      </c>
      <c r="E486" s="2" t="s">
        <v>185</v>
      </c>
      <c r="F486" s="2" t="s">
        <v>192</v>
      </c>
      <c r="G486" s="2" t="s">
        <v>208</v>
      </c>
      <c r="H486" s="2">
        <v>2</v>
      </c>
      <c r="I486" s="5">
        <v>6400</v>
      </c>
      <c r="J486" s="10">
        <v>0.15</v>
      </c>
      <c r="K486" s="7">
        <v>1285.03</v>
      </c>
      <c r="L486" t="b">
        <f t="shared" si="7"/>
        <v>0</v>
      </c>
    </row>
    <row r="487" spans="1:12">
      <c r="A487" s="2">
        <v>100485</v>
      </c>
      <c r="B487" s="14">
        <v>45724</v>
      </c>
      <c r="C487" s="2" t="s">
        <v>105</v>
      </c>
      <c r="D487" s="2" t="s">
        <v>165</v>
      </c>
      <c r="E487" s="2" t="s">
        <v>187</v>
      </c>
      <c r="F487" s="2" t="s">
        <v>192</v>
      </c>
      <c r="G487" s="2" t="s">
        <v>203</v>
      </c>
      <c r="H487" s="2">
        <v>3</v>
      </c>
      <c r="I487" s="5">
        <v>6000</v>
      </c>
      <c r="J487" s="10">
        <v>0.15</v>
      </c>
      <c r="K487" s="7">
        <v>992.05</v>
      </c>
      <c r="L487" t="b">
        <f t="shared" si="7"/>
        <v>0</v>
      </c>
    </row>
    <row r="488" spans="1:12">
      <c r="A488" s="2">
        <v>100486</v>
      </c>
      <c r="B488" s="14">
        <v>45908</v>
      </c>
      <c r="C488" s="2" t="s">
        <v>101</v>
      </c>
      <c r="D488" s="2" t="s">
        <v>178</v>
      </c>
      <c r="E488" s="2" t="s">
        <v>182</v>
      </c>
      <c r="F488" s="2" t="s">
        <v>189</v>
      </c>
      <c r="G488" s="2" t="s">
        <v>198</v>
      </c>
      <c r="H488" s="2">
        <v>1</v>
      </c>
      <c r="I488" s="5">
        <v>45000</v>
      </c>
      <c r="J488" s="10">
        <v>0.15</v>
      </c>
      <c r="K488" s="7">
        <v>5686.46</v>
      </c>
      <c r="L488" t="b">
        <f t="shared" si="7"/>
        <v>0</v>
      </c>
    </row>
    <row r="489" spans="1:12">
      <c r="A489" s="2">
        <v>100487</v>
      </c>
      <c r="B489" s="14">
        <v>45892</v>
      </c>
      <c r="C489" s="2" t="s">
        <v>45</v>
      </c>
      <c r="D489" s="2" t="s">
        <v>165</v>
      </c>
      <c r="E489" s="2" t="s">
        <v>183</v>
      </c>
      <c r="F489" s="2" t="s">
        <v>191</v>
      </c>
      <c r="G489" s="2" t="s">
        <v>200</v>
      </c>
      <c r="H489" s="2">
        <v>2</v>
      </c>
      <c r="I489" s="5">
        <v>56000</v>
      </c>
      <c r="J489" s="10">
        <v>0.2</v>
      </c>
      <c r="K489" s="7">
        <v>6830.07</v>
      </c>
      <c r="L489" t="b">
        <f t="shared" si="7"/>
        <v>0</v>
      </c>
    </row>
    <row r="490" spans="1:12">
      <c r="A490" s="2">
        <v>100488</v>
      </c>
      <c r="B490" s="14">
        <v>45988</v>
      </c>
      <c r="C490" s="2" t="s">
        <v>153</v>
      </c>
      <c r="D490" s="2" t="s">
        <v>177</v>
      </c>
      <c r="E490" s="2" t="s">
        <v>183</v>
      </c>
      <c r="F490" s="2" t="s">
        <v>191</v>
      </c>
      <c r="G490" s="2" t="s">
        <v>209</v>
      </c>
      <c r="H490" s="2">
        <v>1</v>
      </c>
      <c r="I490" s="5">
        <v>26000</v>
      </c>
      <c r="J490" s="10">
        <v>0.05</v>
      </c>
      <c r="K490" s="7">
        <v>5759.72</v>
      </c>
      <c r="L490" t="b">
        <f t="shared" si="7"/>
        <v>0</v>
      </c>
    </row>
    <row r="491" spans="1:12">
      <c r="A491" s="2">
        <v>100489</v>
      </c>
      <c r="B491" s="14">
        <v>45803</v>
      </c>
      <c r="C491" s="2" t="s">
        <v>131</v>
      </c>
      <c r="D491" s="2" t="s">
        <v>175</v>
      </c>
      <c r="E491" s="2" t="s">
        <v>181</v>
      </c>
      <c r="F491" s="2" t="s">
        <v>191</v>
      </c>
      <c r="G491" s="2" t="s">
        <v>200</v>
      </c>
      <c r="H491" s="2">
        <v>4</v>
      </c>
      <c r="I491" s="5">
        <v>112000</v>
      </c>
      <c r="J491" s="10">
        <v>0.2</v>
      </c>
      <c r="K491" s="7">
        <v>19491.099999999999</v>
      </c>
      <c r="L491" t="b">
        <f t="shared" si="7"/>
        <v>0</v>
      </c>
    </row>
    <row r="492" spans="1:12">
      <c r="A492" s="2">
        <v>100490</v>
      </c>
      <c r="B492" s="14">
        <v>45896</v>
      </c>
      <c r="C492" s="2" t="s">
        <v>22</v>
      </c>
      <c r="D492" s="2" t="s">
        <v>168</v>
      </c>
      <c r="E492" s="2" t="s">
        <v>181</v>
      </c>
      <c r="F492" s="2" t="s">
        <v>191</v>
      </c>
      <c r="G492" s="2" t="s">
        <v>209</v>
      </c>
      <c r="H492" s="2">
        <v>1</v>
      </c>
      <c r="I492" s="5">
        <v>26000</v>
      </c>
      <c r="J492" s="10">
        <v>0.05</v>
      </c>
      <c r="K492" s="7">
        <v>4091.77</v>
      </c>
      <c r="L492" t="b">
        <f t="shared" si="7"/>
        <v>0</v>
      </c>
    </row>
    <row r="493" spans="1:12">
      <c r="A493" s="2">
        <v>100491</v>
      </c>
      <c r="B493" s="14">
        <v>45733</v>
      </c>
      <c r="C493" s="2" t="s">
        <v>30</v>
      </c>
      <c r="D493" s="2" t="s">
        <v>165</v>
      </c>
      <c r="E493" s="2" t="s">
        <v>183</v>
      </c>
      <c r="F493" s="2" t="s">
        <v>189</v>
      </c>
      <c r="G493" s="2" t="s">
        <v>194</v>
      </c>
      <c r="H493" s="2">
        <v>4</v>
      </c>
      <c r="I493" s="5">
        <v>248000</v>
      </c>
      <c r="J493" s="10">
        <v>0.1</v>
      </c>
      <c r="K493" s="7">
        <v>54305.760000000002</v>
      </c>
      <c r="L493" t="b">
        <f t="shared" si="7"/>
        <v>0</v>
      </c>
    </row>
    <row r="494" spans="1:12">
      <c r="A494" s="2">
        <v>100492</v>
      </c>
      <c r="B494" s="14">
        <v>45901</v>
      </c>
      <c r="C494" s="2" t="s">
        <v>141</v>
      </c>
      <c r="D494" s="2" t="s">
        <v>178</v>
      </c>
      <c r="E494" s="2" t="s">
        <v>183</v>
      </c>
      <c r="F494" s="2" t="s">
        <v>190</v>
      </c>
      <c r="G494" s="2" t="s">
        <v>199</v>
      </c>
      <c r="H494" s="2">
        <v>4</v>
      </c>
      <c r="I494" s="5">
        <v>7200</v>
      </c>
      <c r="J494" s="10">
        <v>0.2</v>
      </c>
      <c r="K494" s="7">
        <v>1383.48</v>
      </c>
      <c r="L494" t="b">
        <f t="shared" si="7"/>
        <v>0</v>
      </c>
    </row>
    <row r="495" spans="1:12">
      <c r="A495" s="2">
        <v>100493</v>
      </c>
      <c r="B495" s="14">
        <v>45731</v>
      </c>
      <c r="C495" s="2" t="s">
        <v>156</v>
      </c>
      <c r="D495" s="2" t="s">
        <v>176</v>
      </c>
      <c r="E495" s="2" t="s">
        <v>184</v>
      </c>
      <c r="F495" s="2" t="s">
        <v>190</v>
      </c>
      <c r="G495" s="2" t="s">
        <v>195</v>
      </c>
      <c r="H495" s="2">
        <v>1</v>
      </c>
      <c r="I495" s="5">
        <v>800</v>
      </c>
      <c r="J495" s="10">
        <v>0.15</v>
      </c>
      <c r="K495" s="7">
        <v>82.17</v>
      </c>
      <c r="L495" t="b">
        <f t="shared" si="7"/>
        <v>0</v>
      </c>
    </row>
    <row r="496" spans="1:12">
      <c r="A496" s="2">
        <v>100494</v>
      </c>
      <c r="B496" s="14">
        <v>45939</v>
      </c>
      <c r="C496" s="2" t="s">
        <v>13</v>
      </c>
      <c r="D496" s="2" t="s">
        <v>166</v>
      </c>
      <c r="E496" s="2" t="s">
        <v>182</v>
      </c>
      <c r="F496" s="2" t="s">
        <v>192</v>
      </c>
      <c r="G496" s="2" t="s">
        <v>203</v>
      </c>
      <c r="H496" s="2">
        <v>1</v>
      </c>
      <c r="I496" s="5">
        <v>2000</v>
      </c>
      <c r="J496" s="10">
        <v>0.2</v>
      </c>
      <c r="K496" s="7">
        <v>319.97000000000003</v>
      </c>
      <c r="L496" t="b">
        <f t="shared" si="7"/>
        <v>0</v>
      </c>
    </row>
    <row r="497" spans="1:12">
      <c r="A497" s="2">
        <v>100495</v>
      </c>
      <c r="B497" s="14">
        <v>45887</v>
      </c>
      <c r="C497" s="2" t="s">
        <v>45</v>
      </c>
      <c r="D497" s="2" t="s">
        <v>165</v>
      </c>
      <c r="E497" s="2" t="s">
        <v>188</v>
      </c>
      <c r="F497" s="2" t="s">
        <v>191</v>
      </c>
      <c r="G497" s="2" t="s">
        <v>197</v>
      </c>
      <c r="H497" s="2">
        <v>3</v>
      </c>
      <c r="I497" s="5">
        <v>174000</v>
      </c>
      <c r="J497" s="10">
        <v>0.05</v>
      </c>
      <c r="K497" s="7">
        <v>34966.050000000003</v>
      </c>
      <c r="L497" t="b">
        <f t="shared" si="7"/>
        <v>0</v>
      </c>
    </row>
    <row r="498" spans="1:12">
      <c r="A498" s="2">
        <v>100496</v>
      </c>
      <c r="B498" s="14">
        <v>45839</v>
      </c>
      <c r="C498" s="2" t="s">
        <v>117</v>
      </c>
      <c r="D498" s="2" t="s">
        <v>174</v>
      </c>
      <c r="E498" s="2" t="s">
        <v>181</v>
      </c>
      <c r="F498" s="2" t="s">
        <v>189</v>
      </c>
      <c r="G498" s="2" t="s">
        <v>194</v>
      </c>
      <c r="H498" s="2">
        <v>1</v>
      </c>
      <c r="I498" s="5">
        <v>62000</v>
      </c>
      <c r="J498" s="10">
        <v>0.1</v>
      </c>
      <c r="K498" s="7">
        <v>12699.07</v>
      </c>
      <c r="L498" t="b">
        <f t="shared" si="7"/>
        <v>0</v>
      </c>
    </row>
    <row r="499" spans="1:12">
      <c r="A499" s="2">
        <v>100497</v>
      </c>
      <c r="B499" s="14">
        <v>45831</v>
      </c>
      <c r="C499" s="2" t="s">
        <v>111</v>
      </c>
      <c r="D499" s="2" t="s">
        <v>175</v>
      </c>
      <c r="E499" s="2" t="s">
        <v>184</v>
      </c>
      <c r="F499" s="2" t="s">
        <v>189</v>
      </c>
      <c r="G499" s="2" t="s">
        <v>196</v>
      </c>
      <c r="H499" s="2">
        <v>1</v>
      </c>
      <c r="I499" s="5">
        <v>55000</v>
      </c>
      <c r="J499" s="10">
        <v>0.1</v>
      </c>
      <c r="K499" s="7">
        <v>7255.63</v>
      </c>
      <c r="L499" t="b">
        <f t="shared" si="7"/>
        <v>0</v>
      </c>
    </row>
    <row r="500" spans="1:12">
      <c r="A500" s="2">
        <v>100498</v>
      </c>
      <c r="B500" s="14">
        <v>45798</v>
      </c>
      <c r="C500" s="2" t="s">
        <v>29</v>
      </c>
      <c r="D500" s="2" t="s">
        <v>169</v>
      </c>
      <c r="E500" s="2" t="s">
        <v>184</v>
      </c>
      <c r="F500" s="2" t="s">
        <v>190</v>
      </c>
      <c r="G500" s="2" t="s">
        <v>201</v>
      </c>
      <c r="H500" s="2">
        <v>4</v>
      </c>
      <c r="I500" s="5">
        <v>6000</v>
      </c>
      <c r="J500" s="10">
        <v>0.15</v>
      </c>
      <c r="K500" s="7">
        <v>1019.83</v>
      </c>
      <c r="L500" t="b">
        <f t="shared" si="7"/>
        <v>0</v>
      </c>
    </row>
    <row r="501" spans="1:12">
      <c r="A501" s="2">
        <v>100499</v>
      </c>
      <c r="B501" s="14">
        <v>45825</v>
      </c>
      <c r="C501" s="2" t="s">
        <v>129</v>
      </c>
      <c r="D501" s="2" t="s">
        <v>169</v>
      </c>
      <c r="E501" s="2" t="s">
        <v>188</v>
      </c>
      <c r="F501" s="2" t="s">
        <v>189</v>
      </c>
      <c r="G501" s="2" t="s">
        <v>198</v>
      </c>
      <c r="H501" s="2">
        <v>2</v>
      </c>
      <c r="I501" s="5">
        <v>90000</v>
      </c>
      <c r="J501" s="10">
        <v>0.2</v>
      </c>
      <c r="K501" s="7">
        <v>13331.94</v>
      </c>
      <c r="L501" t="b">
        <f t="shared" si="7"/>
        <v>0</v>
      </c>
    </row>
    <row r="502" spans="1:12">
      <c r="A502" s="2">
        <v>100500</v>
      </c>
      <c r="B502" s="14">
        <v>45827</v>
      </c>
      <c r="C502" s="2" t="s">
        <v>144</v>
      </c>
      <c r="D502" s="2" t="s">
        <v>177</v>
      </c>
      <c r="E502" s="2" t="s">
        <v>184</v>
      </c>
      <c r="F502" s="2" t="s">
        <v>190</v>
      </c>
      <c r="G502" s="2" t="s">
        <v>204</v>
      </c>
      <c r="H502" s="2">
        <v>4</v>
      </c>
      <c r="I502" s="5">
        <v>2000</v>
      </c>
      <c r="J502" s="10">
        <v>0.1</v>
      </c>
      <c r="K502" s="7">
        <v>344.97</v>
      </c>
      <c r="L502" t="b">
        <f t="shared" si="7"/>
        <v>0</v>
      </c>
    </row>
    <row r="503" spans="1:12">
      <c r="A503" s="2">
        <v>100501</v>
      </c>
      <c r="B503" s="14">
        <v>45940</v>
      </c>
      <c r="C503" s="2" t="s">
        <v>108</v>
      </c>
      <c r="D503" s="2" t="s">
        <v>164</v>
      </c>
      <c r="E503" s="2" t="s">
        <v>186</v>
      </c>
      <c r="F503" s="2" t="s">
        <v>192</v>
      </c>
      <c r="G503" s="2" t="s">
        <v>203</v>
      </c>
      <c r="H503" s="2">
        <v>2</v>
      </c>
      <c r="I503" s="5">
        <v>4000</v>
      </c>
      <c r="J503" s="10">
        <v>0.15</v>
      </c>
      <c r="K503" s="7">
        <v>479.02</v>
      </c>
      <c r="L503" t="b">
        <f t="shared" si="7"/>
        <v>0</v>
      </c>
    </row>
    <row r="504" spans="1:12">
      <c r="A504" s="2">
        <v>100502</v>
      </c>
      <c r="B504" s="14">
        <v>45693</v>
      </c>
      <c r="C504" s="2" t="s">
        <v>45</v>
      </c>
      <c r="D504" s="2" t="s">
        <v>165</v>
      </c>
      <c r="E504" s="2" t="s">
        <v>182</v>
      </c>
      <c r="F504" s="2" t="s">
        <v>190</v>
      </c>
      <c r="G504" s="2" t="s">
        <v>195</v>
      </c>
      <c r="H504" s="2">
        <v>2</v>
      </c>
      <c r="I504" s="5">
        <v>1600</v>
      </c>
      <c r="J504" s="10">
        <v>0.2</v>
      </c>
      <c r="K504" s="7">
        <v>193.12</v>
      </c>
      <c r="L504" t="b">
        <f t="shared" si="7"/>
        <v>0</v>
      </c>
    </row>
    <row r="505" spans="1:12">
      <c r="A505" s="2">
        <v>100503</v>
      </c>
      <c r="B505" s="14">
        <v>45851</v>
      </c>
      <c r="C505" s="2" t="s">
        <v>60</v>
      </c>
      <c r="D505" s="2" t="s">
        <v>174</v>
      </c>
      <c r="E505" s="2" t="s">
        <v>183</v>
      </c>
      <c r="F505" s="2" t="s">
        <v>190</v>
      </c>
      <c r="G505" s="2" t="s">
        <v>204</v>
      </c>
      <c r="H505" s="2">
        <v>1</v>
      </c>
      <c r="I505" s="5">
        <v>500</v>
      </c>
      <c r="J505" s="10">
        <v>0.05</v>
      </c>
      <c r="K505" s="7">
        <v>63.89</v>
      </c>
      <c r="L505" t="b">
        <f t="shared" si="7"/>
        <v>0</v>
      </c>
    </row>
    <row r="506" spans="1:12">
      <c r="A506" s="2">
        <v>100504</v>
      </c>
      <c r="B506" s="14">
        <v>45778</v>
      </c>
      <c r="C506" s="2" t="s">
        <v>142</v>
      </c>
      <c r="D506" s="2" t="s">
        <v>178</v>
      </c>
      <c r="E506" s="2" t="s">
        <v>187</v>
      </c>
      <c r="F506" s="2" t="s">
        <v>189</v>
      </c>
      <c r="G506" s="2" t="s">
        <v>196</v>
      </c>
      <c r="H506" s="2">
        <v>2</v>
      </c>
      <c r="I506" s="5">
        <v>110000</v>
      </c>
      <c r="J506" s="10">
        <v>0.2</v>
      </c>
      <c r="K506" s="7">
        <v>14904.36</v>
      </c>
      <c r="L506" t="b">
        <f t="shared" si="7"/>
        <v>0</v>
      </c>
    </row>
    <row r="507" spans="1:12">
      <c r="A507" s="2">
        <v>100505</v>
      </c>
      <c r="B507" s="14">
        <v>45686</v>
      </c>
      <c r="C507" s="2" t="s">
        <v>79</v>
      </c>
      <c r="D507" s="2" t="s">
        <v>165</v>
      </c>
      <c r="E507" s="2" t="s">
        <v>188</v>
      </c>
      <c r="F507" s="2" t="s">
        <v>192</v>
      </c>
      <c r="G507" s="2" t="s">
        <v>205</v>
      </c>
      <c r="H507" s="2">
        <v>2</v>
      </c>
      <c r="I507" s="5">
        <v>9000</v>
      </c>
      <c r="J507" s="10">
        <v>0.15</v>
      </c>
      <c r="K507" s="7">
        <v>1664.64</v>
      </c>
      <c r="L507" t="b">
        <f t="shared" si="7"/>
        <v>0</v>
      </c>
    </row>
    <row r="508" spans="1:12">
      <c r="A508" s="2">
        <v>100506</v>
      </c>
      <c r="B508" s="14">
        <v>45822</v>
      </c>
      <c r="C508" s="2" t="s">
        <v>61</v>
      </c>
      <c r="D508" s="2" t="s">
        <v>178</v>
      </c>
      <c r="E508" s="2" t="s">
        <v>183</v>
      </c>
      <c r="F508" s="2" t="s">
        <v>190</v>
      </c>
      <c r="G508" s="2" t="s">
        <v>195</v>
      </c>
      <c r="H508" s="2">
        <v>1</v>
      </c>
      <c r="I508" s="5">
        <v>800</v>
      </c>
      <c r="J508" s="10">
        <v>0.05</v>
      </c>
      <c r="K508" s="7">
        <v>114.61</v>
      </c>
      <c r="L508" t="b">
        <f t="shared" si="7"/>
        <v>0</v>
      </c>
    </row>
    <row r="509" spans="1:12">
      <c r="A509" s="2">
        <v>100507</v>
      </c>
      <c r="B509" s="14">
        <v>45789</v>
      </c>
      <c r="C509" s="2" t="s">
        <v>72</v>
      </c>
      <c r="D509" s="2" t="s">
        <v>172</v>
      </c>
      <c r="E509" s="2" t="s">
        <v>183</v>
      </c>
      <c r="F509" s="2" t="s">
        <v>189</v>
      </c>
      <c r="G509" s="2" t="s">
        <v>193</v>
      </c>
      <c r="H509" s="2">
        <v>1</v>
      </c>
      <c r="I509" s="5">
        <v>85000</v>
      </c>
      <c r="J509" s="10">
        <v>0.2</v>
      </c>
      <c r="K509" s="7">
        <v>16373.64</v>
      </c>
      <c r="L509" t="b">
        <f t="shared" si="7"/>
        <v>0</v>
      </c>
    </row>
    <row r="510" spans="1:12">
      <c r="A510" s="2">
        <v>100508</v>
      </c>
      <c r="B510" s="14">
        <v>45793</v>
      </c>
      <c r="C510" s="2" t="s">
        <v>116</v>
      </c>
      <c r="D510" s="2" t="s">
        <v>164</v>
      </c>
      <c r="E510" s="2" t="s">
        <v>185</v>
      </c>
      <c r="F510" s="2" t="s">
        <v>191</v>
      </c>
      <c r="G510" s="2" t="s">
        <v>197</v>
      </c>
      <c r="H510" s="2">
        <v>2</v>
      </c>
      <c r="I510" s="5">
        <v>116000</v>
      </c>
      <c r="J510" s="10">
        <v>0.1</v>
      </c>
      <c r="K510" s="7">
        <v>12787.98</v>
      </c>
      <c r="L510" t="b">
        <f t="shared" si="7"/>
        <v>0</v>
      </c>
    </row>
    <row r="511" spans="1:12">
      <c r="A511" s="2">
        <v>100509</v>
      </c>
      <c r="B511" s="14">
        <v>45978</v>
      </c>
      <c r="C511" s="2" t="s">
        <v>15</v>
      </c>
      <c r="D511" s="2" t="s">
        <v>167</v>
      </c>
      <c r="E511" s="2" t="s">
        <v>186</v>
      </c>
      <c r="F511" s="2" t="s">
        <v>192</v>
      </c>
      <c r="G511" s="2" t="s">
        <v>208</v>
      </c>
      <c r="H511" s="2">
        <v>2</v>
      </c>
      <c r="I511" s="5">
        <v>6400</v>
      </c>
      <c r="J511" s="10">
        <v>0.2</v>
      </c>
      <c r="K511" s="7">
        <v>1130.4000000000001</v>
      </c>
      <c r="L511" t="b">
        <f t="shared" si="7"/>
        <v>0</v>
      </c>
    </row>
    <row r="512" spans="1:12">
      <c r="A512" s="2">
        <v>100510</v>
      </c>
      <c r="B512" s="14">
        <v>45881</v>
      </c>
      <c r="C512" s="2" t="s">
        <v>71</v>
      </c>
      <c r="D512" s="2" t="s">
        <v>174</v>
      </c>
      <c r="E512" s="2" t="s">
        <v>188</v>
      </c>
      <c r="F512" s="2" t="s">
        <v>190</v>
      </c>
      <c r="G512" s="2" t="s">
        <v>195</v>
      </c>
      <c r="H512" s="2">
        <v>3</v>
      </c>
      <c r="I512" s="5">
        <v>2400</v>
      </c>
      <c r="J512" s="10">
        <v>0.2</v>
      </c>
      <c r="K512" s="7">
        <v>237.91</v>
      </c>
      <c r="L512" t="b">
        <f t="shared" si="7"/>
        <v>0</v>
      </c>
    </row>
    <row r="513" spans="1:12">
      <c r="A513" s="2">
        <v>100511</v>
      </c>
      <c r="B513" s="14">
        <v>45802</v>
      </c>
      <c r="C513" s="2" t="s">
        <v>145</v>
      </c>
      <c r="D513" s="2" t="s">
        <v>178</v>
      </c>
      <c r="E513" s="2" t="s">
        <v>184</v>
      </c>
      <c r="F513" s="2" t="s">
        <v>190</v>
      </c>
      <c r="G513" s="2" t="s">
        <v>199</v>
      </c>
      <c r="H513" s="2">
        <v>3</v>
      </c>
      <c r="I513" s="5">
        <v>5400</v>
      </c>
      <c r="J513" s="10">
        <v>0.2</v>
      </c>
      <c r="K513" s="7">
        <v>1042.49</v>
      </c>
      <c r="L513" t="b">
        <f t="shared" si="7"/>
        <v>0</v>
      </c>
    </row>
    <row r="514" spans="1:12">
      <c r="A514" s="2">
        <v>100512</v>
      </c>
      <c r="B514" s="14">
        <v>45984</v>
      </c>
      <c r="C514" s="2" t="s">
        <v>40</v>
      </c>
      <c r="D514" s="2" t="s">
        <v>167</v>
      </c>
      <c r="E514" s="2" t="s">
        <v>187</v>
      </c>
      <c r="F514" s="2" t="s">
        <v>192</v>
      </c>
      <c r="G514" s="2" t="s">
        <v>208</v>
      </c>
      <c r="H514" s="2">
        <v>1</v>
      </c>
      <c r="I514" s="5">
        <v>3200</v>
      </c>
      <c r="J514" s="10">
        <v>0.1</v>
      </c>
      <c r="K514" s="7">
        <v>599.63</v>
      </c>
      <c r="L514" t="b">
        <f t="shared" si="7"/>
        <v>0</v>
      </c>
    </row>
    <row r="515" spans="1:12">
      <c r="A515" s="2">
        <v>100513</v>
      </c>
      <c r="B515" s="14">
        <v>45785</v>
      </c>
      <c r="C515" s="2" t="s">
        <v>158</v>
      </c>
      <c r="D515" s="2" t="s">
        <v>167</v>
      </c>
      <c r="E515" s="2" t="s">
        <v>188</v>
      </c>
      <c r="F515" s="2" t="s">
        <v>191</v>
      </c>
      <c r="G515" s="2" t="s">
        <v>209</v>
      </c>
      <c r="H515" s="2">
        <v>2</v>
      </c>
      <c r="I515" s="5">
        <v>52000</v>
      </c>
      <c r="J515" s="10">
        <v>0.1</v>
      </c>
      <c r="K515" s="7">
        <v>11378.53</v>
      </c>
      <c r="L515" t="b">
        <f t="shared" ref="L515:L578" si="8">COUNTIF(A:A, A515) &gt; 1</f>
        <v>0</v>
      </c>
    </row>
    <row r="516" spans="1:12">
      <c r="A516" s="2">
        <v>100514</v>
      </c>
      <c r="B516" s="14">
        <v>45958</v>
      </c>
      <c r="C516" s="2" t="s">
        <v>24</v>
      </c>
      <c r="D516" s="2" t="s">
        <v>166</v>
      </c>
      <c r="E516" s="2" t="s">
        <v>184</v>
      </c>
      <c r="F516" s="2" t="s">
        <v>190</v>
      </c>
      <c r="G516" s="2" t="s">
        <v>204</v>
      </c>
      <c r="H516" s="2">
        <v>4</v>
      </c>
      <c r="I516" s="5">
        <v>2000</v>
      </c>
      <c r="J516" s="10">
        <v>0.1</v>
      </c>
      <c r="K516" s="7">
        <v>280.93</v>
      </c>
      <c r="L516" t="b">
        <f t="shared" si="8"/>
        <v>0</v>
      </c>
    </row>
    <row r="517" spans="1:12">
      <c r="A517" s="2">
        <v>100515</v>
      </c>
      <c r="B517" s="14">
        <v>45996</v>
      </c>
      <c r="C517" s="2" t="s">
        <v>49</v>
      </c>
      <c r="D517" s="2" t="s">
        <v>173</v>
      </c>
      <c r="E517" s="2" t="s">
        <v>183</v>
      </c>
      <c r="F517" s="2" t="s">
        <v>190</v>
      </c>
      <c r="G517" s="2" t="s">
        <v>204</v>
      </c>
      <c r="H517" s="2">
        <v>2</v>
      </c>
      <c r="I517" s="5">
        <v>1000</v>
      </c>
      <c r="J517" s="10">
        <v>0.05</v>
      </c>
      <c r="K517" s="7">
        <v>115.27</v>
      </c>
      <c r="L517" t="b">
        <f t="shared" si="8"/>
        <v>0</v>
      </c>
    </row>
    <row r="518" spans="1:12">
      <c r="A518" s="2">
        <v>100516</v>
      </c>
      <c r="B518" s="14">
        <v>45949</v>
      </c>
      <c r="C518" s="2" t="s">
        <v>72</v>
      </c>
      <c r="D518" s="2" t="s">
        <v>172</v>
      </c>
      <c r="E518" s="2" t="s">
        <v>187</v>
      </c>
      <c r="F518" s="2" t="s">
        <v>192</v>
      </c>
      <c r="G518" s="2" t="s">
        <v>203</v>
      </c>
      <c r="H518" s="2">
        <v>1</v>
      </c>
      <c r="I518" s="5">
        <v>2000</v>
      </c>
      <c r="J518" s="10">
        <v>0.2</v>
      </c>
      <c r="K518" s="7">
        <v>321.52</v>
      </c>
      <c r="L518" t="b">
        <f t="shared" si="8"/>
        <v>0</v>
      </c>
    </row>
    <row r="519" spans="1:12">
      <c r="A519" s="2">
        <v>100517</v>
      </c>
      <c r="B519" s="14">
        <v>45964</v>
      </c>
      <c r="C519" s="2" t="s">
        <v>152</v>
      </c>
      <c r="D519" s="2" t="s">
        <v>177</v>
      </c>
      <c r="E519" s="2" t="s">
        <v>184</v>
      </c>
      <c r="F519" s="2" t="s">
        <v>191</v>
      </c>
      <c r="G519" s="2" t="s">
        <v>202</v>
      </c>
      <c r="H519" s="2">
        <v>2</v>
      </c>
      <c r="I519" s="5">
        <v>76000</v>
      </c>
      <c r="J519" s="10">
        <v>0.2</v>
      </c>
      <c r="K519" s="7">
        <v>9983.14</v>
      </c>
      <c r="L519" t="b">
        <f t="shared" si="8"/>
        <v>0</v>
      </c>
    </row>
    <row r="520" spans="1:12">
      <c r="A520" s="2">
        <v>100518</v>
      </c>
      <c r="B520" s="14">
        <v>45909</v>
      </c>
      <c r="C520" s="2" t="s">
        <v>103</v>
      </c>
      <c r="D520" s="2" t="s">
        <v>172</v>
      </c>
      <c r="E520" s="2" t="s">
        <v>182</v>
      </c>
      <c r="F520" s="2" t="s">
        <v>192</v>
      </c>
      <c r="G520" s="2" t="s">
        <v>207</v>
      </c>
      <c r="H520" s="2">
        <v>3</v>
      </c>
      <c r="I520" s="5">
        <v>5400</v>
      </c>
      <c r="J520" s="10">
        <v>0.2</v>
      </c>
      <c r="K520" s="7">
        <v>665</v>
      </c>
      <c r="L520" t="b">
        <f t="shared" si="8"/>
        <v>0</v>
      </c>
    </row>
    <row r="521" spans="1:12">
      <c r="A521" s="2">
        <v>100519</v>
      </c>
      <c r="B521" s="14">
        <v>45698</v>
      </c>
      <c r="C521" s="2" t="s">
        <v>90</v>
      </c>
      <c r="D521" s="2" t="s">
        <v>172</v>
      </c>
      <c r="E521" s="2" t="s">
        <v>184</v>
      </c>
      <c r="F521" s="2" t="s">
        <v>191</v>
      </c>
      <c r="G521" s="2" t="s">
        <v>209</v>
      </c>
      <c r="H521" s="2">
        <v>4</v>
      </c>
      <c r="I521" s="5">
        <v>104000</v>
      </c>
      <c r="J521" s="10">
        <v>0.05</v>
      </c>
      <c r="K521" s="7">
        <v>23871.360000000001</v>
      </c>
      <c r="L521" t="b">
        <f t="shared" si="8"/>
        <v>0</v>
      </c>
    </row>
    <row r="522" spans="1:12">
      <c r="A522" s="2">
        <v>100520</v>
      </c>
      <c r="B522" s="14">
        <v>46021</v>
      </c>
      <c r="C522" s="2" t="s">
        <v>48</v>
      </c>
      <c r="D522" s="2" t="s">
        <v>176</v>
      </c>
      <c r="E522" s="2" t="s">
        <v>185</v>
      </c>
      <c r="F522" s="2" t="s">
        <v>192</v>
      </c>
      <c r="G522" s="2" t="s">
        <v>207</v>
      </c>
      <c r="H522" s="2">
        <v>4</v>
      </c>
      <c r="I522" s="5">
        <v>7200</v>
      </c>
      <c r="J522" s="10">
        <v>0.1</v>
      </c>
      <c r="K522" s="7">
        <v>1559.88</v>
      </c>
      <c r="L522" t="b">
        <f t="shared" si="8"/>
        <v>0</v>
      </c>
    </row>
    <row r="523" spans="1:12">
      <c r="A523" s="2">
        <v>100521</v>
      </c>
      <c r="B523" s="14">
        <v>45664</v>
      </c>
      <c r="C523" s="2" t="s">
        <v>156</v>
      </c>
      <c r="D523" s="2" t="s">
        <v>176</v>
      </c>
      <c r="E523" s="2" t="s">
        <v>186</v>
      </c>
      <c r="F523" s="2" t="s">
        <v>192</v>
      </c>
      <c r="G523" s="2" t="s">
        <v>208</v>
      </c>
      <c r="H523" s="2">
        <v>1</v>
      </c>
      <c r="I523" s="5">
        <v>3200</v>
      </c>
      <c r="J523" s="10">
        <v>0.15</v>
      </c>
      <c r="K523" s="7">
        <v>383.96</v>
      </c>
      <c r="L523" t="b">
        <f t="shared" si="8"/>
        <v>0</v>
      </c>
    </row>
    <row r="524" spans="1:12">
      <c r="A524" s="2">
        <v>100522</v>
      </c>
      <c r="B524" s="14">
        <v>45824</v>
      </c>
      <c r="C524" s="2" t="s">
        <v>92</v>
      </c>
      <c r="D524" s="2" t="s">
        <v>165</v>
      </c>
      <c r="E524" s="2" t="s">
        <v>183</v>
      </c>
      <c r="F524" s="2" t="s">
        <v>192</v>
      </c>
      <c r="G524" s="2" t="s">
        <v>208</v>
      </c>
      <c r="H524" s="2">
        <v>4</v>
      </c>
      <c r="I524" s="5">
        <v>12800</v>
      </c>
      <c r="J524" s="10">
        <v>0.15</v>
      </c>
      <c r="K524" s="7">
        <v>2674.85</v>
      </c>
      <c r="L524" t="b">
        <f t="shared" si="8"/>
        <v>0</v>
      </c>
    </row>
    <row r="525" spans="1:12">
      <c r="A525" s="2">
        <v>100523</v>
      </c>
      <c r="B525" s="14">
        <v>45661</v>
      </c>
      <c r="C525" s="2" t="s">
        <v>144</v>
      </c>
      <c r="D525" s="2" t="s">
        <v>177</v>
      </c>
      <c r="E525" s="2" t="s">
        <v>184</v>
      </c>
      <c r="F525" s="2" t="s">
        <v>189</v>
      </c>
      <c r="G525" s="2" t="s">
        <v>194</v>
      </c>
      <c r="H525" s="2">
        <v>3</v>
      </c>
      <c r="I525" s="5">
        <v>186000</v>
      </c>
      <c r="J525" s="10">
        <v>0.1</v>
      </c>
      <c r="K525" s="7">
        <v>20197.39</v>
      </c>
      <c r="L525" t="b">
        <f t="shared" si="8"/>
        <v>0</v>
      </c>
    </row>
    <row r="526" spans="1:12">
      <c r="A526" s="2">
        <v>100524</v>
      </c>
      <c r="B526" s="14">
        <v>45859</v>
      </c>
      <c r="C526" s="2" t="s">
        <v>128</v>
      </c>
      <c r="D526" s="2" t="s">
        <v>168</v>
      </c>
      <c r="E526" s="2" t="s">
        <v>186</v>
      </c>
      <c r="F526" s="2" t="s">
        <v>191</v>
      </c>
      <c r="G526" s="2" t="s">
        <v>197</v>
      </c>
      <c r="H526" s="2">
        <v>1</v>
      </c>
      <c r="I526" s="5">
        <v>58000</v>
      </c>
      <c r="J526" s="10">
        <v>0.1</v>
      </c>
      <c r="K526" s="7">
        <v>10658.05</v>
      </c>
      <c r="L526" t="b">
        <f t="shared" si="8"/>
        <v>0</v>
      </c>
    </row>
    <row r="527" spans="1:12">
      <c r="A527" s="2">
        <v>100525</v>
      </c>
      <c r="B527" s="14">
        <v>46003</v>
      </c>
      <c r="C527" s="2" t="s">
        <v>59</v>
      </c>
      <c r="D527" s="2" t="s">
        <v>165</v>
      </c>
      <c r="E527" s="2" t="s">
        <v>181</v>
      </c>
      <c r="F527" s="2" t="s">
        <v>192</v>
      </c>
      <c r="G527" s="2" t="s">
        <v>205</v>
      </c>
      <c r="H527" s="2">
        <v>3</v>
      </c>
      <c r="I527" s="5">
        <v>13500</v>
      </c>
      <c r="J527" s="10">
        <v>0.15</v>
      </c>
      <c r="K527" s="7">
        <v>1815.97</v>
      </c>
      <c r="L527" t="b">
        <f t="shared" si="8"/>
        <v>0</v>
      </c>
    </row>
    <row r="528" spans="1:12">
      <c r="A528" s="2">
        <v>100526</v>
      </c>
      <c r="B528" s="14">
        <v>45676</v>
      </c>
      <c r="C528" s="2" t="s">
        <v>112</v>
      </c>
      <c r="D528" s="2" t="s">
        <v>177</v>
      </c>
      <c r="E528" s="2" t="s">
        <v>181</v>
      </c>
      <c r="F528" s="2" t="s">
        <v>190</v>
      </c>
      <c r="G528" s="2" t="s">
        <v>199</v>
      </c>
      <c r="H528" s="2">
        <v>3</v>
      </c>
      <c r="I528" s="5">
        <v>5400</v>
      </c>
      <c r="J528" s="10">
        <v>0.2</v>
      </c>
      <c r="K528" s="7">
        <v>958.81</v>
      </c>
      <c r="L528" t="b">
        <f t="shared" si="8"/>
        <v>0</v>
      </c>
    </row>
    <row r="529" spans="1:12">
      <c r="A529" s="2">
        <v>100527</v>
      </c>
      <c r="B529" s="14">
        <v>45871</v>
      </c>
      <c r="C529" s="2" t="s">
        <v>125</v>
      </c>
      <c r="D529" s="2" t="s">
        <v>176</v>
      </c>
      <c r="E529" s="2" t="s">
        <v>186</v>
      </c>
      <c r="F529" s="2" t="s">
        <v>190</v>
      </c>
      <c r="G529" s="2" t="s">
        <v>204</v>
      </c>
      <c r="H529" s="2">
        <v>1</v>
      </c>
      <c r="I529" s="5">
        <v>500</v>
      </c>
      <c r="J529" s="10">
        <v>0.05</v>
      </c>
      <c r="K529" s="7">
        <v>72.400000000000006</v>
      </c>
      <c r="L529" t="b">
        <f t="shared" si="8"/>
        <v>0</v>
      </c>
    </row>
    <row r="530" spans="1:12">
      <c r="A530" s="2">
        <v>100528</v>
      </c>
      <c r="B530" s="14">
        <v>45813</v>
      </c>
      <c r="C530" s="2" t="s">
        <v>83</v>
      </c>
      <c r="D530" s="2" t="s">
        <v>177</v>
      </c>
      <c r="E530" s="2" t="s">
        <v>186</v>
      </c>
      <c r="F530" s="2" t="s">
        <v>190</v>
      </c>
      <c r="G530" s="2" t="s">
        <v>199</v>
      </c>
      <c r="H530" s="2">
        <v>3</v>
      </c>
      <c r="I530" s="5">
        <v>5400</v>
      </c>
      <c r="J530" s="10">
        <v>0.15</v>
      </c>
      <c r="K530" s="7">
        <v>763.68</v>
      </c>
      <c r="L530" t="b">
        <f t="shared" si="8"/>
        <v>0</v>
      </c>
    </row>
    <row r="531" spans="1:12">
      <c r="A531" s="2">
        <v>100529</v>
      </c>
      <c r="B531" s="14">
        <v>45830</v>
      </c>
      <c r="C531" s="2" t="s">
        <v>144</v>
      </c>
      <c r="D531" s="2" t="s">
        <v>177</v>
      </c>
      <c r="E531" s="2" t="s">
        <v>185</v>
      </c>
      <c r="F531" s="2" t="s">
        <v>192</v>
      </c>
      <c r="G531" s="2" t="s">
        <v>208</v>
      </c>
      <c r="H531" s="2">
        <v>4</v>
      </c>
      <c r="I531" s="5">
        <v>12800</v>
      </c>
      <c r="J531" s="10">
        <v>0.15</v>
      </c>
      <c r="K531" s="7">
        <v>1728.3</v>
      </c>
      <c r="L531" t="b">
        <f t="shared" si="8"/>
        <v>0</v>
      </c>
    </row>
    <row r="532" spans="1:12">
      <c r="A532" s="2">
        <v>100530</v>
      </c>
      <c r="B532" s="14">
        <v>45798</v>
      </c>
      <c r="C532" s="2" t="s">
        <v>15</v>
      </c>
      <c r="D532" s="2" t="s">
        <v>167</v>
      </c>
      <c r="E532" s="2" t="s">
        <v>182</v>
      </c>
      <c r="F532" s="2" t="s">
        <v>192</v>
      </c>
      <c r="G532" s="2" t="s">
        <v>203</v>
      </c>
      <c r="H532" s="2">
        <v>2</v>
      </c>
      <c r="I532" s="5">
        <v>4000</v>
      </c>
      <c r="J532" s="10">
        <v>0.05</v>
      </c>
      <c r="K532" s="7">
        <v>816.48</v>
      </c>
      <c r="L532" t="b">
        <f t="shared" si="8"/>
        <v>0</v>
      </c>
    </row>
    <row r="533" spans="1:12">
      <c r="A533" s="2">
        <v>100531</v>
      </c>
      <c r="B533" s="14">
        <v>45899</v>
      </c>
      <c r="C533" s="2" t="s">
        <v>37</v>
      </c>
      <c r="D533" s="2" t="s">
        <v>173</v>
      </c>
      <c r="E533" s="2" t="s">
        <v>183</v>
      </c>
      <c r="F533" s="2" t="s">
        <v>190</v>
      </c>
      <c r="G533" s="2" t="s">
        <v>199</v>
      </c>
      <c r="H533" s="2">
        <v>1</v>
      </c>
      <c r="I533" s="5">
        <v>1800</v>
      </c>
      <c r="J533" s="10">
        <v>0.05</v>
      </c>
      <c r="K533" s="7">
        <v>397.08</v>
      </c>
      <c r="L533" t="b">
        <f t="shared" si="8"/>
        <v>0</v>
      </c>
    </row>
    <row r="534" spans="1:12">
      <c r="A534" s="2">
        <v>100532</v>
      </c>
      <c r="B534" s="14">
        <v>45877</v>
      </c>
      <c r="C534" s="2" t="s">
        <v>31</v>
      </c>
      <c r="D534" s="2" t="s">
        <v>168</v>
      </c>
      <c r="E534" s="2" t="s">
        <v>188</v>
      </c>
      <c r="F534" s="2" t="s">
        <v>192</v>
      </c>
      <c r="G534" s="2" t="s">
        <v>205</v>
      </c>
      <c r="H534" s="2">
        <v>1</v>
      </c>
      <c r="I534" s="5">
        <v>4500</v>
      </c>
      <c r="J534" s="10">
        <v>0.1</v>
      </c>
      <c r="K534" s="7">
        <v>741.78</v>
      </c>
      <c r="L534" t="b">
        <f t="shared" si="8"/>
        <v>0</v>
      </c>
    </row>
    <row r="535" spans="1:12">
      <c r="A535" s="2">
        <v>100533</v>
      </c>
      <c r="B535" s="14">
        <v>45813</v>
      </c>
      <c r="C535" s="2" t="s">
        <v>127</v>
      </c>
      <c r="D535" s="2" t="s">
        <v>170</v>
      </c>
      <c r="E535" s="2" t="s">
        <v>185</v>
      </c>
      <c r="F535" s="2" t="s">
        <v>192</v>
      </c>
      <c r="G535" s="2" t="s">
        <v>205</v>
      </c>
      <c r="H535" s="2">
        <v>1</v>
      </c>
      <c r="I535" s="5">
        <v>4500</v>
      </c>
      <c r="J535" s="10">
        <v>0.15</v>
      </c>
      <c r="K535" s="7">
        <v>931.34</v>
      </c>
      <c r="L535" t="b">
        <f t="shared" si="8"/>
        <v>0</v>
      </c>
    </row>
    <row r="536" spans="1:12">
      <c r="A536" s="2">
        <v>100534</v>
      </c>
      <c r="B536" s="14">
        <v>45715</v>
      </c>
      <c r="C536" s="2" t="s">
        <v>94</v>
      </c>
      <c r="D536" s="2" t="s">
        <v>175</v>
      </c>
      <c r="E536" s="2" t="s">
        <v>182</v>
      </c>
      <c r="F536" s="2" t="s">
        <v>191</v>
      </c>
      <c r="G536" s="2" t="s">
        <v>209</v>
      </c>
      <c r="H536" s="2">
        <v>3</v>
      </c>
      <c r="I536" s="5">
        <v>78000</v>
      </c>
      <c r="J536" s="10">
        <v>0.1</v>
      </c>
      <c r="K536" s="7">
        <v>14193.81</v>
      </c>
      <c r="L536" t="b">
        <f t="shared" si="8"/>
        <v>0</v>
      </c>
    </row>
    <row r="537" spans="1:12">
      <c r="A537" s="2">
        <v>100535</v>
      </c>
      <c r="B537" s="14">
        <v>45805</v>
      </c>
      <c r="C537" s="2" t="s">
        <v>56</v>
      </c>
      <c r="D537" s="2" t="s">
        <v>171</v>
      </c>
      <c r="E537" s="2" t="s">
        <v>186</v>
      </c>
      <c r="F537" s="2" t="s">
        <v>192</v>
      </c>
      <c r="G537" s="2" t="s">
        <v>203</v>
      </c>
      <c r="H537" s="2">
        <v>2</v>
      </c>
      <c r="I537" s="5">
        <v>4000</v>
      </c>
      <c r="J537" s="10">
        <v>0.05</v>
      </c>
      <c r="K537" s="7">
        <v>631.44000000000005</v>
      </c>
      <c r="L537" t="b">
        <f t="shared" si="8"/>
        <v>0</v>
      </c>
    </row>
    <row r="538" spans="1:12">
      <c r="A538" s="2">
        <v>100536</v>
      </c>
      <c r="B538" s="14">
        <v>45974</v>
      </c>
      <c r="C538" s="2" t="s">
        <v>88</v>
      </c>
      <c r="D538" s="2" t="s">
        <v>164</v>
      </c>
      <c r="E538" s="2" t="s">
        <v>188</v>
      </c>
      <c r="F538" s="2" t="s">
        <v>190</v>
      </c>
      <c r="G538" s="2" t="s">
        <v>204</v>
      </c>
      <c r="H538" s="2">
        <v>4</v>
      </c>
      <c r="I538" s="5">
        <v>2000</v>
      </c>
      <c r="J538" s="10">
        <v>0.15</v>
      </c>
      <c r="K538" s="7">
        <v>207.35</v>
      </c>
      <c r="L538" t="b">
        <f t="shared" si="8"/>
        <v>0</v>
      </c>
    </row>
    <row r="539" spans="1:12">
      <c r="A539" s="2">
        <v>100537</v>
      </c>
      <c r="B539" s="14">
        <v>46018</v>
      </c>
      <c r="C539" s="2" t="s">
        <v>141</v>
      </c>
      <c r="D539" s="2" t="s">
        <v>178</v>
      </c>
      <c r="E539" s="2" t="s">
        <v>186</v>
      </c>
      <c r="F539" s="2" t="s">
        <v>190</v>
      </c>
      <c r="G539" s="2" t="s">
        <v>199</v>
      </c>
      <c r="H539" s="2">
        <v>1</v>
      </c>
      <c r="I539" s="5">
        <v>1800</v>
      </c>
      <c r="J539" s="10">
        <v>0.2</v>
      </c>
      <c r="K539" s="7">
        <v>336.23</v>
      </c>
      <c r="L539" t="b">
        <f t="shared" si="8"/>
        <v>0</v>
      </c>
    </row>
    <row r="540" spans="1:12">
      <c r="A540" s="2">
        <v>100538</v>
      </c>
      <c r="B540" s="14">
        <v>45658</v>
      </c>
      <c r="C540" s="2" t="s">
        <v>15</v>
      </c>
      <c r="D540" s="2" t="s">
        <v>167</v>
      </c>
      <c r="E540" s="2" t="s">
        <v>186</v>
      </c>
      <c r="F540" s="2" t="s">
        <v>192</v>
      </c>
      <c r="G540" s="2" t="s">
        <v>208</v>
      </c>
      <c r="H540" s="2">
        <v>4</v>
      </c>
      <c r="I540" s="5">
        <v>12800</v>
      </c>
      <c r="J540" s="10">
        <v>0.15</v>
      </c>
      <c r="K540" s="7">
        <v>1886.72</v>
      </c>
      <c r="L540" t="b">
        <f t="shared" si="8"/>
        <v>0</v>
      </c>
    </row>
    <row r="541" spans="1:12">
      <c r="A541" s="2">
        <v>100539</v>
      </c>
      <c r="B541" s="14">
        <v>46005</v>
      </c>
      <c r="C541" s="2" t="s">
        <v>157</v>
      </c>
      <c r="D541" s="2" t="s">
        <v>170</v>
      </c>
      <c r="E541" s="2" t="s">
        <v>181</v>
      </c>
      <c r="F541" s="2" t="s">
        <v>191</v>
      </c>
      <c r="G541" s="2" t="s">
        <v>200</v>
      </c>
      <c r="H541" s="2">
        <v>4</v>
      </c>
      <c r="I541" s="5">
        <v>112000</v>
      </c>
      <c r="J541" s="10">
        <v>0.05</v>
      </c>
      <c r="K541" s="7">
        <v>13912.38</v>
      </c>
      <c r="L541" t="b">
        <f t="shared" si="8"/>
        <v>0</v>
      </c>
    </row>
    <row r="542" spans="1:12">
      <c r="A542" s="2">
        <v>100540</v>
      </c>
      <c r="B542" s="14">
        <v>45907</v>
      </c>
      <c r="C542" s="2" t="s">
        <v>90</v>
      </c>
      <c r="D542" s="2" t="s">
        <v>172</v>
      </c>
      <c r="E542" s="2" t="s">
        <v>181</v>
      </c>
      <c r="F542" s="2" t="s">
        <v>190</v>
      </c>
      <c r="G542" s="2" t="s">
        <v>201</v>
      </c>
      <c r="H542" s="2">
        <v>4</v>
      </c>
      <c r="I542" s="5">
        <v>6000</v>
      </c>
      <c r="J542" s="10">
        <v>0.05</v>
      </c>
      <c r="K542" s="7">
        <v>757.16</v>
      </c>
      <c r="L542" t="b">
        <f t="shared" si="8"/>
        <v>0</v>
      </c>
    </row>
    <row r="543" spans="1:12">
      <c r="A543" s="2">
        <v>100541</v>
      </c>
      <c r="B543" s="14">
        <v>45937</v>
      </c>
      <c r="C543" s="2" t="s">
        <v>94</v>
      </c>
      <c r="D543" s="2" t="s">
        <v>175</v>
      </c>
      <c r="E543" s="2" t="s">
        <v>188</v>
      </c>
      <c r="F543" s="2" t="s">
        <v>189</v>
      </c>
      <c r="G543" s="2" t="s">
        <v>193</v>
      </c>
      <c r="H543" s="2">
        <v>4</v>
      </c>
      <c r="I543" s="5">
        <v>340000</v>
      </c>
      <c r="J543" s="10">
        <v>0.15</v>
      </c>
      <c r="K543" s="7">
        <v>71519.95</v>
      </c>
      <c r="L543" t="b">
        <f t="shared" si="8"/>
        <v>0</v>
      </c>
    </row>
    <row r="544" spans="1:12">
      <c r="A544" s="2">
        <v>100542</v>
      </c>
      <c r="B544" s="14">
        <v>45880</v>
      </c>
      <c r="C544" s="2" t="s">
        <v>112</v>
      </c>
      <c r="D544" s="2" t="s">
        <v>177</v>
      </c>
      <c r="E544" s="2" t="s">
        <v>185</v>
      </c>
      <c r="F544" s="2" t="s">
        <v>189</v>
      </c>
      <c r="G544" s="2" t="s">
        <v>193</v>
      </c>
      <c r="H544" s="2">
        <v>1</v>
      </c>
      <c r="I544" s="5">
        <v>85000</v>
      </c>
      <c r="J544" s="10">
        <v>0.15</v>
      </c>
      <c r="K544" s="7">
        <v>14257.1</v>
      </c>
      <c r="L544" t="b">
        <f t="shared" si="8"/>
        <v>0</v>
      </c>
    </row>
    <row r="545" spans="1:12">
      <c r="A545" s="2">
        <v>100543</v>
      </c>
      <c r="B545" s="14">
        <v>45774</v>
      </c>
      <c r="C545" s="2" t="s">
        <v>31</v>
      </c>
      <c r="D545" s="2" t="s">
        <v>168</v>
      </c>
      <c r="E545" s="2" t="s">
        <v>181</v>
      </c>
      <c r="F545" s="2" t="s">
        <v>189</v>
      </c>
      <c r="G545" s="2" t="s">
        <v>198</v>
      </c>
      <c r="H545" s="2">
        <v>3</v>
      </c>
      <c r="I545" s="5">
        <v>135000</v>
      </c>
      <c r="J545" s="10">
        <v>0.1</v>
      </c>
      <c r="K545" s="7">
        <v>28218.44</v>
      </c>
      <c r="L545" t="b">
        <f t="shared" si="8"/>
        <v>0</v>
      </c>
    </row>
    <row r="546" spans="1:12">
      <c r="A546" s="2">
        <v>100544</v>
      </c>
      <c r="B546" s="14">
        <v>45791</v>
      </c>
      <c r="C546" s="2" t="s">
        <v>42</v>
      </c>
      <c r="D546" s="2" t="s">
        <v>168</v>
      </c>
      <c r="E546" s="2" t="s">
        <v>183</v>
      </c>
      <c r="F546" s="2" t="s">
        <v>192</v>
      </c>
      <c r="G546" s="2" t="s">
        <v>207</v>
      </c>
      <c r="H546" s="2">
        <v>3</v>
      </c>
      <c r="I546" s="5">
        <v>5400</v>
      </c>
      <c r="J546" s="10">
        <v>0.1</v>
      </c>
      <c r="K546" s="7">
        <v>1082</v>
      </c>
      <c r="L546" t="b">
        <f t="shared" si="8"/>
        <v>0</v>
      </c>
    </row>
    <row r="547" spans="1:12">
      <c r="A547" s="2">
        <v>100545</v>
      </c>
      <c r="B547" s="14">
        <v>45715</v>
      </c>
      <c r="C547" s="2" t="s">
        <v>90</v>
      </c>
      <c r="D547" s="2" t="s">
        <v>172</v>
      </c>
      <c r="E547" s="2" t="s">
        <v>186</v>
      </c>
      <c r="F547" s="2" t="s">
        <v>192</v>
      </c>
      <c r="G547" s="2" t="s">
        <v>208</v>
      </c>
      <c r="H547" s="2">
        <v>4</v>
      </c>
      <c r="I547" s="5">
        <v>12800</v>
      </c>
      <c r="J547" s="10">
        <v>0.05</v>
      </c>
      <c r="K547" s="7">
        <v>1848.46</v>
      </c>
      <c r="L547" t="b">
        <f t="shared" si="8"/>
        <v>0</v>
      </c>
    </row>
    <row r="548" spans="1:12">
      <c r="A548" s="2">
        <v>100546</v>
      </c>
      <c r="B548" s="14">
        <v>45701</v>
      </c>
      <c r="C548" s="2" t="s">
        <v>17</v>
      </c>
      <c r="D548" s="2" t="s">
        <v>169</v>
      </c>
      <c r="E548" s="2" t="s">
        <v>187</v>
      </c>
      <c r="F548" s="2" t="s">
        <v>192</v>
      </c>
      <c r="G548" s="2" t="s">
        <v>205</v>
      </c>
      <c r="H548" s="2">
        <v>2</v>
      </c>
      <c r="I548" s="5">
        <v>9000</v>
      </c>
      <c r="J548" s="10">
        <v>0.05</v>
      </c>
      <c r="K548" s="7">
        <v>1061.32</v>
      </c>
      <c r="L548" t="b">
        <f t="shared" si="8"/>
        <v>0</v>
      </c>
    </row>
    <row r="549" spans="1:12">
      <c r="A549" s="2">
        <v>100547</v>
      </c>
      <c r="B549" s="14">
        <v>45830</v>
      </c>
      <c r="C549" s="2" t="s">
        <v>26</v>
      </c>
      <c r="D549" s="2" t="s">
        <v>166</v>
      </c>
      <c r="E549" s="2" t="s">
        <v>184</v>
      </c>
      <c r="F549" s="2" t="s">
        <v>191</v>
      </c>
      <c r="G549" s="2" t="s">
        <v>200</v>
      </c>
      <c r="H549" s="2">
        <v>4</v>
      </c>
      <c r="I549" s="5">
        <v>112000</v>
      </c>
      <c r="J549" s="10">
        <v>0.15</v>
      </c>
      <c r="K549" s="7">
        <v>13209.97</v>
      </c>
      <c r="L549" t="b">
        <f t="shared" si="8"/>
        <v>0</v>
      </c>
    </row>
    <row r="550" spans="1:12">
      <c r="A550" s="2">
        <v>100548</v>
      </c>
      <c r="B550" s="14">
        <v>45906</v>
      </c>
      <c r="C550" s="2" t="s">
        <v>144</v>
      </c>
      <c r="D550" s="2" t="s">
        <v>177</v>
      </c>
      <c r="E550" s="2" t="s">
        <v>188</v>
      </c>
      <c r="F550" s="2" t="s">
        <v>190</v>
      </c>
      <c r="G550" s="2" t="s">
        <v>204</v>
      </c>
      <c r="H550" s="2">
        <v>1</v>
      </c>
      <c r="I550" s="5">
        <v>500</v>
      </c>
      <c r="J550" s="10">
        <v>0.2</v>
      </c>
      <c r="K550" s="7">
        <v>75.23</v>
      </c>
      <c r="L550" t="b">
        <f t="shared" si="8"/>
        <v>0</v>
      </c>
    </row>
    <row r="551" spans="1:12">
      <c r="A551" s="2">
        <v>100549</v>
      </c>
      <c r="B551" s="14">
        <v>45830</v>
      </c>
      <c r="C551" s="2" t="s">
        <v>64</v>
      </c>
      <c r="D551" s="2" t="s">
        <v>171</v>
      </c>
      <c r="E551" s="2" t="s">
        <v>188</v>
      </c>
      <c r="F551" s="2" t="s">
        <v>191</v>
      </c>
      <c r="G551" s="2" t="s">
        <v>209</v>
      </c>
      <c r="H551" s="2">
        <v>1</v>
      </c>
      <c r="I551" s="5">
        <v>26000</v>
      </c>
      <c r="J551" s="10">
        <v>0.15</v>
      </c>
      <c r="K551" s="7">
        <v>4302.3599999999997</v>
      </c>
      <c r="L551" t="b">
        <f t="shared" si="8"/>
        <v>0</v>
      </c>
    </row>
    <row r="552" spans="1:12">
      <c r="A552" s="2">
        <v>100550</v>
      </c>
      <c r="B552" s="14">
        <v>45974</v>
      </c>
      <c r="C552" s="2" t="s">
        <v>145</v>
      </c>
      <c r="D552" s="2" t="s">
        <v>178</v>
      </c>
      <c r="E552" s="2" t="s">
        <v>181</v>
      </c>
      <c r="F552" s="2" t="s">
        <v>189</v>
      </c>
      <c r="G552" s="2" t="s">
        <v>194</v>
      </c>
      <c r="H552" s="2">
        <v>2</v>
      </c>
      <c r="I552" s="5">
        <v>124000</v>
      </c>
      <c r="J552" s="10">
        <v>0.1</v>
      </c>
      <c r="K552" s="7">
        <v>25340.1</v>
      </c>
      <c r="L552" t="b">
        <f t="shared" si="8"/>
        <v>0</v>
      </c>
    </row>
    <row r="553" spans="1:12">
      <c r="A553" s="2">
        <v>100551</v>
      </c>
      <c r="B553" s="14">
        <v>45960</v>
      </c>
      <c r="C553" s="2" t="s">
        <v>72</v>
      </c>
      <c r="D553" s="2" t="s">
        <v>172</v>
      </c>
      <c r="E553" s="2" t="s">
        <v>185</v>
      </c>
      <c r="F553" s="2" t="s">
        <v>189</v>
      </c>
      <c r="G553" s="2" t="s">
        <v>196</v>
      </c>
      <c r="H553" s="2">
        <v>1</v>
      </c>
      <c r="I553" s="5">
        <v>55000</v>
      </c>
      <c r="J553" s="10">
        <v>0.2</v>
      </c>
      <c r="K553" s="7">
        <v>7353.84</v>
      </c>
      <c r="L553" t="b">
        <f t="shared" si="8"/>
        <v>0</v>
      </c>
    </row>
    <row r="554" spans="1:12">
      <c r="A554" s="2">
        <v>100552</v>
      </c>
      <c r="B554" s="14">
        <v>45806</v>
      </c>
      <c r="C554" s="2" t="s">
        <v>115</v>
      </c>
      <c r="D554" s="2" t="s">
        <v>176</v>
      </c>
      <c r="E554" s="2" t="s">
        <v>186</v>
      </c>
      <c r="F554" s="2" t="s">
        <v>190</v>
      </c>
      <c r="G554" s="2" t="s">
        <v>201</v>
      </c>
      <c r="H554" s="2">
        <v>1</v>
      </c>
      <c r="I554" s="5">
        <v>1500</v>
      </c>
      <c r="J554" s="10">
        <v>0.1</v>
      </c>
      <c r="K554" s="7">
        <v>198.69</v>
      </c>
      <c r="L554" t="b">
        <f t="shared" si="8"/>
        <v>0</v>
      </c>
    </row>
    <row r="555" spans="1:12">
      <c r="A555" s="2">
        <v>100553</v>
      </c>
      <c r="B555" s="14">
        <v>45737</v>
      </c>
      <c r="C555" s="2" t="s">
        <v>53</v>
      </c>
      <c r="D555" s="2" t="s">
        <v>171</v>
      </c>
      <c r="E555" s="2" t="s">
        <v>183</v>
      </c>
      <c r="F555" s="2" t="s">
        <v>189</v>
      </c>
      <c r="G555" s="2" t="s">
        <v>206</v>
      </c>
      <c r="H555" s="2">
        <v>4</v>
      </c>
      <c r="I555" s="5">
        <v>200000</v>
      </c>
      <c r="J555" s="10">
        <v>0.1</v>
      </c>
      <c r="K555" s="7">
        <v>42961.68</v>
      </c>
      <c r="L555" t="b">
        <f t="shared" si="8"/>
        <v>0</v>
      </c>
    </row>
    <row r="556" spans="1:12">
      <c r="A556" s="2">
        <v>100554</v>
      </c>
      <c r="B556" s="14">
        <v>45665</v>
      </c>
      <c r="C556" s="2" t="s">
        <v>57</v>
      </c>
      <c r="D556" s="2" t="s">
        <v>173</v>
      </c>
      <c r="E556" s="2" t="s">
        <v>185</v>
      </c>
      <c r="F556" s="2" t="s">
        <v>190</v>
      </c>
      <c r="G556" s="2" t="s">
        <v>199</v>
      </c>
      <c r="H556" s="2">
        <v>2</v>
      </c>
      <c r="I556" s="5">
        <v>3600</v>
      </c>
      <c r="J556" s="10">
        <v>0.15</v>
      </c>
      <c r="K556" s="7">
        <v>422.73</v>
      </c>
      <c r="L556" t="b">
        <f t="shared" si="8"/>
        <v>0</v>
      </c>
    </row>
    <row r="557" spans="1:12">
      <c r="A557" s="2">
        <v>100555</v>
      </c>
      <c r="B557" s="14">
        <v>45860</v>
      </c>
      <c r="C557" s="2" t="s">
        <v>61</v>
      </c>
      <c r="D557" s="2" t="s">
        <v>178</v>
      </c>
      <c r="E557" s="2" t="s">
        <v>182</v>
      </c>
      <c r="F557" s="2" t="s">
        <v>190</v>
      </c>
      <c r="G557" s="2" t="s">
        <v>199</v>
      </c>
      <c r="H557" s="2">
        <v>1</v>
      </c>
      <c r="I557" s="5">
        <v>1800</v>
      </c>
      <c r="J557" s="10">
        <v>0.15</v>
      </c>
      <c r="K557" s="7">
        <v>339.04</v>
      </c>
      <c r="L557" t="b">
        <f t="shared" si="8"/>
        <v>0</v>
      </c>
    </row>
    <row r="558" spans="1:12">
      <c r="A558" s="2">
        <v>100556</v>
      </c>
      <c r="B558" s="14">
        <v>45909</v>
      </c>
      <c r="C558" s="2" t="s">
        <v>67</v>
      </c>
      <c r="D558" s="2" t="s">
        <v>171</v>
      </c>
      <c r="E558" s="2" t="s">
        <v>182</v>
      </c>
      <c r="F558" s="2" t="s">
        <v>190</v>
      </c>
      <c r="G558" s="2" t="s">
        <v>201</v>
      </c>
      <c r="H558" s="2">
        <v>4</v>
      </c>
      <c r="I558" s="5">
        <v>6000</v>
      </c>
      <c r="J558" s="10">
        <v>0.15</v>
      </c>
      <c r="K558" s="7">
        <v>623.11</v>
      </c>
      <c r="L558" t="b">
        <f t="shared" si="8"/>
        <v>0</v>
      </c>
    </row>
    <row r="559" spans="1:12">
      <c r="A559" s="2">
        <v>100557</v>
      </c>
      <c r="B559" s="14">
        <v>45886</v>
      </c>
      <c r="C559" s="2" t="s">
        <v>37</v>
      </c>
      <c r="D559" s="2" t="s">
        <v>173</v>
      </c>
      <c r="E559" s="2" t="s">
        <v>187</v>
      </c>
      <c r="F559" s="2" t="s">
        <v>189</v>
      </c>
      <c r="G559" s="2" t="s">
        <v>194</v>
      </c>
      <c r="H559" s="2">
        <v>1</v>
      </c>
      <c r="I559" s="5">
        <v>62000</v>
      </c>
      <c r="J559" s="10">
        <v>0.15</v>
      </c>
      <c r="K559" s="7">
        <v>9965.7999999999993</v>
      </c>
      <c r="L559" t="b">
        <f t="shared" si="8"/>
        <v>0</v>
      </c>
    </row>
    <row r="560" spans="1:12">
      <c r="A560" s="2">
        <v>100558</v>
      </c>
      <c r="B560" s="14">
        <v>45821</v>
      </c>
      <c r="C560" s="2" t="s">
        <v>153</v>
      </c>
      <c r="D560" s="2" t="s">
        <v>177</v>
      </c>
      <c r="E560" s="2" t="s">
        <v>181</v>
      </c>
      <c r="F560" s="2" t="s">
        <v>191</v>
      </c>
      <c r="G560" s="2" t="s">
        <v>202</v>
      </c>
      <c r="H560" s="2">
        <v>1</v>
      </c>
      <c r="I560" s="5">
        <v>38000</v>
      </c>
      <c r="J560" s="10">
        <v>0.1</v>
      </c>
      <c r="K560" s="7">
        <v>5916.85</v>
      </c>
      <c r="L560" t="b">
        <f t="shared" si="8"/>
        <v>0</v>
      </c>
    </row>
    <row r="561" spans="1:12">
      <c r="A561" s="2">
        <v>100559</v>
      </c>
      <c r="B561" s="14">
        <v>45884</v>
      </c>
      <c r="C561" s="2" t="s">
        <v>128</v>
      </c>
      <c r="D561" s="2" t="s">
        <v>168</v>
      </c>
      <c r="E561" s="2" t="s">
        <v>181</v>
      </c>
      <c r="F561" s="2" t="s">
        <v>191</v>
      </c>
      <c r="G561" s="2" t="s">
        <v>202</v>
      </c>
      <c r="H561" s="2">
        <v>4</v>
      </c>
      <c r="I561" s="5">
        <v>152000</v>
      </c>
      <c r="J561" s="10">
        <v>0.1</v>
      </c>
      <c r="K561" s="7">
        <v>33686.949999999997</v>
      </c>
      <c r="L561" t="b">
        <f t="shared" si="8"/>
        <v>0</v>
      </c>
    </row>
    <row r="562" spans="1:12">
      <c r="A562" s="2">
        <v>100560</v>
      </c>
      <c r="B562" s="14">
        <v>45804</v>
      </c>
      <c r="C562" s="2" t="s">
        <v>37</v>
      </c>
      <c r="D562" s="2" t="s">
        <v>173</v>
      </c>
      <c r="E562" s="2" t="s">
        <v>181</v>
      </c>
      <c r="F562" s="2" t="s">
        <v>189</v>
      </c>
      <c r="G562" s="2" t="s">
        <v>206</v>
      </c>
      <c r="H562" s="2">
        <v>2</v>
      </c>
      <c r="I562" s="5">
        <v>100000</v>
      </c>
      <c r="J562" s="10">
        <v>0.1</v>
      </c>
      <c r="K562" s="7">
        <v>11600.87</v>
      </c>
      <c r="L562" t="b">
        <f t="shared" si="8"/>
        <v>0</v>
      </c>
    </row>
    <row r="563" spans="1:12">
      <c r="A563" s="2">
        <v>100561</v>
      </c>
      <c r="B563" s="14">
        <v>45677</v>
      </c>
      <c r="C563" s="2" t="s">
        <v>158</v>
      </c>
      <c r="D563" s="2" t="s">
        <v>167</v>
      </c>
      <c r="E563" s="2" t="s">
        <v>187</v>
      </c>
      <c r="F563" s="2" t="s">
        <v>192</v>
      </c>
      <c r="G563" s="2" t="s">
        <v>207</v>
      </c>
      <c r="H563" s="2">
        <v>3</v>
      </c>
      <c r="I563" s="5">
        <v>5400</v>
      </c>
      <c r="J563" s="10">
        <v>0.15</v>
      </c>
      <c r="K563" s="7">
        <v>916.46</v>
      </c>
      <c r="L563" t="b">
        <f t="shared" si="8"/>
        <v>0</v>
      </c>
    </row>
    <row r="564" spans="1:12">
      <c r="A564" s="2">
        <v>100562</v>
      </c>
      <c r="B564" s="14">
        <v>45704</v>
      </c>
      <c r="C564" s="2" t="s">
        <v>83</v>
      </c>
      <c r="D564" s="2" t="s">
        <v>177</v>
      </c>
      <c r="E564" s="2" t="s">
        <v>182</v>
      </c>
      <c r="F564" s="2" t="s">
        <v>190</v>
      </c>
      <c r="G564" s="2" t="s">
        <v>195</v>
      </c>
      <c r="H564" s="2">
        <v>4</v>
      </c>
      <c r="I564" s="5">
        <v>3200</v>
      </c>
      <c r="J564" s="10">
        <v>0.15</v>
      </c>
      <c r="K564" s="7">
        <v>353.56</v>
      </c>
      <c r="L564" t="b">
        <f t="shared" si="8"/>
        <v>0</v>
      </c>
    </row>
    <row r="565" spans="1:12">
      <c r="A565" s="2">
        <v>100563</v>
      </c>
      <c r="B565" s="14">
        <v>45890</v>
      </c>
      <c r="C565" s="2" t="s">
        <v>128</v>
      </c>
      <c r="D565" s="2" t="s">
        <v>168</v>
      </c>
      <c r="E565" s="2" t="s">
        <v>185</v>
      </c>
      <c r="F565" s="2" t="s">
        <v>190</v>
      </c>
      <c r="G565" s="2" t="s">
        <v>204</v>
      </c>
      <c r="H565" s="2">
        <v>4</v>
      </c>
      <c r="I565" s="5">
        <v>2000</v>
      </c>
      <c r="J565" s="10">
        <v>0.15</v>
      </c>
      <c r="K565" s="7">
        <v>293.11</v>
      </c>
      <c r="L565" t="b">
        <f t="shared" si="8"/>
        <v>0</v>
      </c>
    </row>
    <row r="566" spans="1:12">
      <c r="A566" s="2">
        <v>100564</v>
      </c>
      <c r="B566" s="14">
        <v>45668</v>
      </c>
      <c r="C566" s="2" t="s">
        <v>106</v>
      </c>
      <c r="D566" s="2" t="s">
        <v>170</v>
      </c>
      <c r="E566" s="2" t="s">
        <v>187</v>
      </c>
      <c r="F566" s="2" t="s">
        <v>192</v>
      </c>
      <c r="G566" s="2" t="s">
        <v>207</v>
      </c>
      <c r="H566" s="2">
        <v>4</v>
      </c>
      <c r="I566" s="5">
        <v>7200</v>
      </c>
      <c r="J566" s="10">
        <v>0.2</v>
      </c>
      <c r="K566" s="7">
        <v>1149.3399999999999</v>
      </c>
      <c r="L566" t="b">
        <f t="shared" si="8"/>
        <v>0</v>
      </c>
    </row>
    <row r="567" spans="1:12">
      <c r="A567" s="2">
        <v>100565</v>
      </c>
      <c r="B567" s="14">
        <v>45671</v>
      </c>
      <c r="C567" s="2" t="s">
        <v>51</v>
      </c>
      <c r="D567" s="2" t="s">
        <v>176</v>
      </c>
      <c r="E567" s="2" t="s">
        <v>187</v>
      </c>
      <c r="F567" s="2" t="s">
        <v>189</v>
      </c>
      <c r="G567" s="2" t="s">
        <v>196</v>
      </c>
      <c r="H567" s="2">
        <v>2</v>
      </c>
      <c r="I567" s="5">
        <v>110000</v>
      </c>
      <c r="J567" s="10">
        <v>0.05</v>
      </c>
      <c r="K567" s="7">
        <v>18573.310000000001</v>
      </c>
      <c r="L567" t="b">
        <f t="shared" si="8"/>
        <v>0</v>
      </c>
    </row>
    <row r="568" spans="1:12">
      <c r="A568" s="2">
        <v>100566</v>
      </c>
      <c r="B568" s="14">
        <v>45800</v>
      </c>
      <c r="C568" s="2" t="s">
        <v>159</v>
      </c>
      <c r="D568" s="2" t="s">
        <v>167</v>
      </c>
      <c r="E568" s="2" t="s">
        <v>185</v>
      </c>
      <c r="F568" s="2" t="s">
        <v>192</v>
      </c>
      <c r="G568" s="2" t="s">
        <v>203</v>
      </c>
      <c r="H568" s="2">
        <v>2</v>
      </c>
      <c r="I568" s="5">
        <v>4000</v>
      </c>
      <c r="J568" s="10">
        <v>0.1</v>
      </c>
      <c r="K568" s="7">
        <v>683.68</v>
      </c>
      <c r="L568" t="b">
        <f t="shared" si="8"/>
        <v>0</v>
      </c>
    </row>
    <row r="569" spans="1:12">
      <c r="A569" s="2">
        <v>100567</v>
      </c>
      <c r="B569" s="14">
        <v>45658</v>
      </c>
      <c r="C569" s="2" t="s">
        <v>79</v>
      </c>
      <c r="D569" s="2" t="s">
        <v>165</v>
      </c>
      <c r="E569" s="2" t="s">
        <v>181</v>
      </c>
      <c r="F569" s="2" t="s">
        <v>189</v>
      </c>
      <c r="G569" s="2" t="s">
        <v>198</v>
      </c>
      <c r="H569" s="2">
        <v>4</v>
      </c>
      <c r="I569" s="5">
        <v>180000</v>
      </c>
      <c r="J569" s="10">
        <v>0.15</v>
      </c>
      <c r="K569" s="7">
        <v>18939.900000000001</v>
      </c>
      <c r="L569" t="b">
        <f t="shared" si="8"/>
        <v>0</v>
      </c>
    </row>
    <row r="570" spans="1:12">
      <c r="A570" s="2">
        <v>100568</v>
      </c>
      <c r="B570" s="14">
        <v>45711</v>
      </c>
      <c r="C570" s="2" t="s">
        <v>18</v>
      </c>
      <c r="D570" s="2" t="s">
        <v>170</v>
      </c>
      <c r="E570" s="2" t="s">
        <v>183</v>
      </c>
      <c r="F570" s="2" t="s">
        <v>192</v>
      </c>
      <c r="G570" s="2" t="s">
        <v>205</v>
      </c>
      <c r="H570" s="2">
        <v>4</v>
      </c>
      <c r="I570" s="5">
        <v>18000</v>
      </c>
      <c r="J570" s="10">
        <v>0.05</v>
      </c>
      <c r="K570" s="7">
        <v>2541.2600000000002</v>
      </c>
      <c r="L570" t="b">
        <f t="shared" si="8"/>
        <v>0</v>
      </c>
    </row>
    <row r="571" spans="1:12">
      <c r="A571" s="2">
        <v>100569</v>
      </c>
      <c r="B571" s="14">
        <v>45916</v>
      </c>
      <c r="C571" s="2" t="s">
        <v>143</v>
      </c>
      <c r="D571" s="2" t="s">
        <v>174</v>
      </c>
      <c r="E571" s="2" t="s">
        <v>185</v>
      </c>
      <c r="F571" s="2" t="s">
        <v>192</v>
      </c>
      <c r="G571" s="2" t="s">
        <v>203</v>
      </c>
      <c r="H571" s="2">
        <v>2</v>
      </c>
      <c r="I571" s="5">
        <v>4000</v>
      </c>
      <c r="J571" s="10">
        <v>0.15</v>
      </c>
      <c r="K571" s="7">
        <v>450.31</v>
      </c>
      <c r="L571" t="b">
        <f t="shared" si="8"/>
        <v>0</v>
      </c>
    </row>
    <row r="572" spans="1:12">
      <c r="A572" s="2">
        <v>100570</v>
      </c>
      <c r="B572" s="14">
        <v>45801</v>
      </c>
      <c r="C572" s="2" t="s">
        <v>131</v>
      </c>
      <c r="D572" s="2" t="s">
        <v>175</v>
      </c>
      <c r="E572" s="2" t="s">
        <v>182</v>
      </c>
      <c r="F572" s="2" t="s">
        <v>192</v>
      </c>
      <c r="G572" s="2" t="s">
        <v>207</v>
      </c>
      <c r="H572" s="2">
        <v>3</v>
      </c>
      <c r="I572" s="5">
        <v>5400</v>
      </c>
      <c r="J572" s="10">
        <v>0.15</v>
      </c>
      <c r="K572" s="7">
        <v>707.34</v>
      </c>
      <c r="L572" t="b">
        <f t="shared" si="8"/>
        <v>0</v>
      </c>
    </row>
    <row r="573" spans="1:12">
      <c r="A573" s="2">
        <v>100571</v>
      </c>
      <c r="B573" s="14">
        <v>45992</v>
      </c>
      <c r="C573" s="2" t="s">
        <v>134</v>
      </c>
      <c r="D573" s="2" t="s">
        <v>175</v>
      </c>
      <c r="E573" s="2" t="s">
        <v>188</v>
      </c>
      <c r="F573" s="2" t="s">
        <v>190</v>
      </c>
      <c r="G573" s="2" t="s">
        <v>201</v>
      </c>
      <c r="H573" s="2">
        <v>2</v>
      </c>
      <c r="I573" s="5">
        <v>3000</v>
      </c>
      <c r="J573" s="10">
        <v>0.2</v>
      </c>
      <c r="K573" s="7">
        <v>303.67</v>
      </c>
      <c r="L573" t="b">
        <f t="shared" si="8"/>
        <v>0</v>
      </c>
    </row>
    <row r="574" spans="1:12">
      <c r="A574" s="2">
        <v>100572</v>
      </c>
      <c r="B574" s="14">
        <v>45987</v>
      </c>
      <c r="C574" s="2" t="s">
        <v>160</v>
      </c>
      <c r="D574" s="2" t="s">
        <v>172</v>
      </c>
      <c r="E574" s="2" t="s">
        <v>186</v>
      </c>
      <c r="F574" s="2" t="s">
        <v>192</v>
      </c>
      <c r="G574" s="2" t="s">
        <v>208</v>
      </c>
      <c r="H574" s="2">
        <v>3</v>
      </c>
      <c r="I574" s="5">
        <v>9600</v>
      </c>
      <c r="J574" s="10">
        <v>0.1</v>
      </c>
      <c r="K574" s="7">
        <v>1392.39</v>
      </c>
      <c r="L574" t="b">
        <f t="shared" si="8"/>
        <v>0</v>
      </c>
    </row>
    <row r="575" spans="1:12">
      <c r="A575" s="2">
        <v>100573</v>
      </c>
      <c r="B575" s="14">
        <v>45999</v>
      </c>
      <c r="C575" s="2" t="s">
        <v>18</v>
      </c>
      <c r="D575" s="2" t="s">
        <v>170</v>
      </c>
      <c r="E575" s="2" t="s">
        <v>188</v>
      </c>
      <c r="F575" s="2" t="s">
        <v>192</v>
      </c>
      <c r="G575" s="2" t="s">
        <v>208</v>
      </c>
      <c r="H575" s="2">
        <v>2</v>
      </c>
      <c r="I575" s="5">
        <v>6400</v>
      </c>
      <c r="J575" s="10">
        <v>0.1</v>
      </c>
      <c r="K575" s="7">
        <v>926.94</v>
      </c>
      <c r="L575" t="b">
        <f t="shared" si="8"/>
        <v>0</v>
      </c>
    </row>
    <row r="576" spans="1:12">
      <c r="A576" s="2">
        <v>100574</v>
      </c>
      <c r="B576" s="14">
        <v>45929</v>
      </c>
      <c r="C576" s="2" t="s">
        <v>67</v>
      </c>
      <c r="D576" s="2" t="s">
        <v>171</v>
      </c>
      <c r="E576" s="2" t="s">
        <v>184</v>
      </c>
      <c r="F576" s="2" t="s">
        <v>191</v>
      </c>
      <c r="G576" s="2" t="s">
        <v>200</v>
      </c>
      <c r="H576" s="2">
        <v>1</v>
      </c>
      <c r="I576" s="5">
        <v>28000</v>
      </c>
      <c r="J576" s="10">
        <v>0.05</v>
      </c>
      <c r="K576" s="7">
        <v>4569.07</v>
      </c>
      <c r="L576" t="b">
        <f t="shared" si="8"/>
        <v>0</v>
      </c>
    </row>
    <row r="577" spans="1:12">
      <c r="A577" s="2">
        <v>100575</v>
      </c>
      <c r="B577" s="14">
        <v>46015</v>
      </c>
      <c r="C577" s="2" t="s">
        <v>47</v>
      </c>
      <c r="D577" s="2" t="s">
        <v>174</v>
      </c>
      <c r="E577" s="2" t="s">
        <v>184</v>
      </c>
      <c r="F577" s="2" t="s">
        <v>191</v>
      </c>
      <c r="G577" s="2" t="s">
        <v>202</v>
      </c>
      <c r="H577" s="2">
        <v>2</v>
      </c>
      <c r="I577" s="5">
        <v>76000</v>
      </c>
      <c r="J577" s="10">
        <v>0.05</v>
      </c>
      <c r="K577" s="7">
        <v>14840.5</v>
      </c>
      <c r="L577" t="b">
        <f t="shared" si="8"/>
        <v>0</v>
      </c>
    </row>
    <row r="578" spans="1:12">
      <c r="A578" s="2">
        <v>100576</v>
      </c>
      <c r="B578" s="14">
        <v>45783</v>
      </c>
      <c r="C578" s="2" t="s">
        <v>127</v>
      </c>
      <c r="D578" s="2" t="s">
        <v>170</v>
      </c>
      <c r="E578" s="2" t="s">
        <v>187</v>
      </c>
      <c r="F578" s="2" t="s">
        <v>191</v>
      </c>
      <c r="G578" s="2" t="s">
        <v>197</v>
      </c>
      <c r="H578" s="2">
        <v>4</v>
      </c>
      <c r="I578" s="5">
        <v>232000</v>
      </c>
      <c r="J578" s="10">
        <v>0.1</v>
      </c>
      <c r="K578" s="7">
        <v>31493.05</v>
      </c>
      <c r="L578" t="b">
        <f t="shared" si="8"/>
        <v>0</v>
      </c>
    </row>
    <row r="579" spans="1:12">
      <c r="A579" s="2">
        <v>100577</v>
      </c>
      <c r="B579" s="14">
        <v>45870</v>
      </c>
      <c r="C579" s="2" t="s">
        <v>124</v>
      </c>
      <c r="D579" s="2" t="s">
        <v>165</v>
      </c>
      <c r="E579" s="2" t="s">
        <v>186</v>
      </c>
      <c r="F579" s="2" t="s">
        <v>192</v>
      </c>
      <c r="G579" s="2" t="s">
        <v>207</v>
      </c>
      <c r="H579" s="2">
        <v>1</v>
      </c>
      <c r="I579" s="5">
        <v>1800</v>
      </c>
      <c r="J579" s="10">
        <v>0.15</v>
      </c>
      <c r="K579" s="7">
        <v>283.14</v>
      </c>
      <c r="L579" t="b">
        <f t="shared" ref="L579:L642" si="9">COUNTIF(A:A, A579) &gt; 1</f>
        <v>0</v>
      </c>
    </row>
    <row r="580" spans="1:12">
      <c r="A580" s="2">
        <v>100578</v>
      </c>
      <c r="B580" s="14">
        <v>45693</v>
      </c>
      <c r="C580" s="2" t="s">
        <v>147</v>
      </c>
      <c r="D580" s="2" t="s">
        <v>175</v>
      </c>
      <c r="E580" s="2" t="s">
        <v>188</v>
      </c>
      <c r="F580" s="2" t="s">
        <v>191</v>
      </c>
      <c r="G580" s="2" t="s">
        <v>197</v>
      </c>
      <c r="H580" s="2">
        <v>3</v>
      </c>
      <c r="I580" s="5">
        <v>174000</v>
      </c>
      <c r="J580" s="10">
        <v>0.2</v>
      </c>
      <c r="K580" s="7">
        <v>26611.040000000001</v>
      </c>
      <c r="L580" t="b">
        <f t="shared" si="9"/>
        <v>0</v>
      </c>
    </row>
    <row r="581" spans="1:12">
      <c r="A581" s="2">
        <v>100579</v>
      </c>
      <c r="B581" s="14">
        <v>46005</v>
      </c>
      <c r="C581" s="2" t="s">
        <v>26</v>
      </c>
      <c r="D581" s="2" t="s">
        <v>166</v>
      </c>
      <c r="E581" s="2" t="s">
        <v>183</v>
      </c>
      <c r="F581" s="2" t="s">
        <v>189</v>
      </c>
      <c r="G581" s="2" t="s">
        <v>193</v>
      </c>
      <c r="H581" s="2">
        <v>2</v>
      </c>
      <c r="I581" s="5">
        <v>170000</v>
      </c>
      <c r="J581" s="10">
        <v>0.2</v>
      </c>
      <c r="K581" s="7">
        <v>20124.82</v>
      </c>
      <c r="L581" t="b">
        <f t="shared" si="9"/>
        <v>0</v>
      </c>
    </row>
    <row r="582" spans="1:12">
      <c r="A582" s="2">
        <v>100580</v>
      </c>
      <c r="B582" s="14">
        <v>45821</v>
      </c>
      <c r="C582" s="2" t="s">
        <v>137</v>
      </c>
      <c r="D582" s="2" t="s">
        <v>177</v>
      </c>
      <c r="E582" s="2" t="s">
        <v>181</v>
      </c>
      <c r="F582" s="2" t="s">
        <v>192</v>
      </c>
      <c r="G582" s="2" t="s">
        <v>208</v>
      </c>
      <c r="H582" s="2">
        <v>3</v>
      </c>
      <c r="I582" s="5">
        <v>9600</v>
      </c>
      <c r="J582" s="10">
        <v>0.15</v>
      </c>
      <c r="K582" s="7">
        <v>1858.06</v>
      </c>
      <c r="L582" t="b">
        <f t="shared" si="9"/>
        <v>0</v>
      </c>
    </row>
    <row r="583" spans="1:12">
      <c r="A583" s="2">
        <v>100581</v>
      </c>
      <c r="B583" s="14">
        <v>45747</v>
      </c>
      <c r="C583" s="2" t="s">
        <v>97</v>
      </c>
      <c r="D583" s="2" t="s">
        <v>168</v>
      </c>
      <c r="E583" s="2" t="s">
        <v>182</v>
      </c>
      <c r="F583" s="2" t="s">
        <v>190</v>
      </c>
      <c r="G583" s="2" t="s">
        <v>201</v>
      </c>
      <c r="H583" s="2">
        <v>4</v>
      </c>
      <c r="I583" s="5">
        <v>6000</v>
      </c>
      <c r="J583" s="10">
        <v>0.2</v>
      </c>
      <c r="K583" s="7">
        <v>778.39</v>
      </c>
      <c r="L583" t="b">
        <f t="shared" si="9"/>
        <v>0</v>
      </c>
    </row>
    <row r="584" spans="1:12">
      <c r="A584" s="2">
        <v>100582</v>
      </c>
      <c r="B584" s="14">
        <v>45793</v>
      </c>
      <c r="C584" s="2" t="s">
        <v>75</v>
      </c>
      <c r="D584" s="2" t="s">
        <v>173</v>
      </c>
      <c r="E584" s="2" t="s">
        <v>184</v>
      </c>
      <c r="F584" s="2" t="s">
        <v>189</v>
      </c>
      <c r="G584" s="2" t="s">
        <v>206</v>
      </c>
      <c r="H584" s="2">
        <v>3</v>
      </c>
      <c r="I584" s="5">
        <v>150000</v>
      </c>
      <c r="J584" s="10">
        <v>0.05</v>
      </c>
      <c r="K584" s="7">
        <v>32979.480000000003</v>
      </c>
      <c r="L584" t="b">
        <f t="shared" si="9"/>
        <v>0</v>
      </c>
    </row>
    <row r="585" spans="1:12">
      <c r="A585" s="2">
        <v>100583</v>
      </c>
      <c r="B585" s="14">
        <v>45784</v>
      </c>
      <c r="C585" s="2" t="s">
        <v>40</v>
      </c>
      <c r="D585" s="2" t="s">
        <v>167</v>
      </c>
      <c r="E585" s="2" t="s">
        <v>183</v>
      </c>
      <c r="F585" s="2" t="s">
        <v>192</v>
      </c>
      <c r="G585" s="2" t="s">
        <v>205</v>
      </c>
      <c r="H585" s="2">
        <v>3</v>
      </c>
      <c r="I585" s="5">
        <v>13500</v>
      </c>
      <c r="J585" s="10">
        <v>0.1</v>
      </c>
      <c r="K585" s="7">
        <v>1667.13</v>
      </c>
      <c r="L585" t="b">
        <f t="shared" si="9"/>
        <v>0</v>
      </c>
    </row>
    <row r="586" spans="1:12">
      <c r="A586" s="2">
        <v>100584</v>
      </c>
      <c r="B586" s="14">
        <v>46002</v>
      </c>
      <c r="C586" s="2" t="s">
        <v>17</v>
      </c>
      <c r="D586" s="2" t="s">
        <v>169</v>
      </c>
      <c r="E586" s="2" t="s">
        <v>182</v>
      </c>
      <c r="F586" s="2" t="s">
        <v>191</v>
      </c>
      <c r="G586" s="2" t="s">
        <v>209</v>
      </c>
      <c r="H586" s="2">
        <v>3</v>
      </c>
      <c r="I586" s="5">
        <v>78000</v>
      </c>
      <c r="J586" s="10">
        <v>0.15</v>
      </c>
      <c r="K586" s="7">
        <v>11872.5</v>
      </c>
      <c r="L586" t="b">
        <f t="shared" si="9"/>
        <v>0</v>
      </c>
    </row>
    <row r="587" spans="1:12">
      <c r="A587" s="2">
        <v>100585</v>
      </c>
      <c r="B587" s="14">
        <v>45835</v>
      </c>
      <c r="C587" s="2" t="s">
        <v>98</v>
      </c>
      <c r="D587" s="2" t="s">
        <v>174</v>
      </c>
      <c r="E587" s="2" t="s">
        <v>182</v>
      </c>
      <c r="F587" s="2" t="s">
        <v>191</v>
      </c>
      <c r="G587" s="2" t="s">
        <v>202</v>
      </c>
      <c r="H587" s="2">
        <v>1</v>
      </c>
      <c r="I587" s="5">
        <v>38000</v>
      </c>
      <c r="J587" s="10">
        <v>0.2</v>
      </c>
      <c r="K587" s="7">
        <v>4403.3500000000004</v>
      </c>
      <c r="L587" t="b">
        <f t="shared" si="9"/>
        <v>0</v>
      </c>
    </row>
    <row r="588" spans="1:12">
      <c r="A588" s="2">
        <v>100586</v>
      </c>
      <c r="B588" s="14">
        <v>45685</v>
      </c>
      <c r="C588" s="2" t="s">
        <v>107</v>
      </c>
      <c r="D588" s="2" t="s">
        <v>171</v>
      </c>
      <c r="E588" s="2" t="s">
        <v>181</v>
      </c>
      <c r="F588" s="2" t="s">
        <v>191</v>
      </c>
      <c r="G588" s="2" t="s">
        <v>200</v>
      </c>
      <c r="H588" s="2">
        <v>2</v>
      </c>
      <c r="I588" s="5">
        <v>56000</v>
      </c>
      <c r="J588" s="10">
        <v>0.05</v>
      </c>
      <c r="K588" s="7">
        <v>8489.8700000000008</v>
      </c>
      <c r="L588" t="b">
        <f t="shared" si="9"/>
        <v>0</v>
      </c>
    </row>
    <row r="589" spans="1:12">
      <c r="A589" s="2">
        <v>100587</v>
      </c>
      <c r="B589" s="14">
        <v>45877</v>
      </c>
      <c r="C589" s="2" t="s">
        <v>131</v>
      </c>
      <c r="D589" s="2" t="s">
        <v>175</v>
      </c>
      <c r="E589" s="2" t="s">
        <v>186</v>
      </c>
      <c r="F589" s="2" t="s">
        <v>189</v>
      </c>
      <c r="G589" s="2" t="s">
        <v>194</v>
      </c>
      <c r="H589" s="2">
        <v>3</v>
      </c>
      <c r="I589" s="5">
        <v>186000</v>
      </c>
      <c r="J589" s="10">
        <v>0.05</v>
      </c>
      <c r="K589" s="7">
        <v>26319.09</v>
      </c>
      <c r="L589" t="b">
        <f t="shared" si="9"/>
        <v>0</v>
      </c>
    </row>
    <row r="590" spans="1:12">
      <c r="A590" s="2">
        <v>100588</v>
      </c>
      <c r="B590" s="14">
        <v>46014</v>
      </c>
      <c r="C590" s="2" t="s">
        <v>150</v>
      </c>
      <c r="D590" s="2" t="s">
        <v>176</v>
      </c>
      <c r="E590" s="2" t="s">
        <v>187</v>
      </c>
      <c r="F590" s="2" t="s">
        <v>190</v>
      </c>
      <c r="G590" s="2" t="s">
        <v>204</v>
      </c>
      <c r="H590" s="2">
        <v>4</v>
      </c>
      <c r="I590" s="5">
        <v>2000</v>
      </c>
      <c r="J590" s="10">
        <v>0.15</v>
      </c>
      <c r="K590" s="7">
        <v>296.2</v>
      </c>
      <c r="L590" t="b">
        <f t="shared" si="9"/>
        <v>0</v>
      </c>
    </row>
    <row r="591" spans="1:12">
      <c r="A591" s="2">
        <v>100589</v>
      </c>
      <c r="B591" s="14">
        <v>45932</v>
      </c>
      <c r="C591" s="2" t="s">
        <v>142</v>
      </c>
      <c r="D591" s="2" t="s">
        <v>178</v>
      </c>
      <c r="E591" s="2" t="s">
        <v>188</v>
      </c>
      <c r="F591" s="2" t="s">
        <v>192</v>
      </c>
      <c r="G591" s="2" t="s">
        <v>205</v>
      </c>
      <c r="H591" s="2">
        <v>1</v>
      </c>
      <c r="I591" s="5">
        <v>4500</v>
      </c>
      <c r="J591" s="10">
        <v>0.2</v>
      </c>
      <c r="K591" s="7">
        <v>627.69000000000005</v>
      </c>
      <c r="L591" t="b">
        <f t="shared" si="9"/>
        <v>0</v>
      </c>
    </row>
    <row r="592" spans="1:12">
      <c r="A592" s="2">
        <v>100590</v>
      </c>
      <c r="B592" s="14">
        <v>45885</v>
      </c>
      <c r="C592" s="2" t="s">
        <v>68</v>
      </c>
      <c r="D592" s="2" t="s">
        <v>175</v>
      </c>
      <c r="E592" s="2" t="s">
        <v>181</v>
      </c>
      <c r="F592" s="2" t="s">
        <v>189</v>
      </c>
      <c r="G592" s="2" t="s">
        <v>194</v>
      </c>
      <c r="H592" s="2">
        <v>2</v>
      </c>
      <c r="I592" s="5">
        <v>124000</v>
      </c>
      <c r="J592" s="10">
        <v>0.1</v>
      </c>
      <c r="K592" s="7">
        <v>14612.52</v>
      </c>
      <c r="L592" t="b">
        <f t="shared" si="9"/>
        <v>0</v>
      </c>
    </row>
    <row r="593" spans="1:12">
      <c r="A593" s="2">
        <v>100591</v>
      </c>
      <c r="B593" s="14">
        <v>45968</v>
      </c>
      <c r="C593" s="2" t="s">
        <v>89</v>
      </c>
      <c r="D593" s="2" t="s">
        <v>166</v>
      </c>
      <c r="E593" s="2" t="s">
        <v>183</v>
      </c>
      <c r="F593" s="2" t="s">
        <v>191</v>
      </c>
      <c r="G593" s="2" t="s">
        <v>197</v>
      </c>
      <c r="H593" s="2">
        <v>3</v>
      </c>
      <c r="I593" s="5">
        <v>174000</v>
      </c>
      <c r="J593" s="10">
        <v>0.15</v>
      </c>
      <c r="K593" s="7">
        <v>18067.02</v>
      </c>
      <c r="L593" t="b">
        <f t="shared" si="9"/>
        <v>0</v>
      </c>
    </row>
    <row r="594" spans="1:12">
      <c r="A594" s="2">
        <v>100592</v>
      </c>
      <c r="B594" s="14">
        <v>45802</v>
      </c>
      <c r="C594" s="2" t="s">
        <v>89</v>
      </c>
      <c r="D594" s="2" t="s">
        <v>166</v>
      </c>
      <c r="E594" s="2" t="s">
        <v>187</v>
      </c>
      <c r="F594" s="2" t="s">
        <v>191</v>
      </c>
      <c r="G594" s="2" t="s">
        <v>202</v>
      </c>
      <c r="H594" s="2">
        <v>4</v>
      </c>
      <c r="I594" s="5">
        <v>152000</v>
      </c>
      <c r="J594" s="10">
        <v>0.2</v>
      </c>
      <c r="K594" s="7">
        <v>17169.009999999998</v>
      </c>
      <c r="L594" t="b">
        <f t="shared" si="9"/>
        <v>0</v>
      </c>
    </row>
    <row r="595" spans="1:12">
      <c r="A595" s="2">
        <v>100593</v>
      </c>
      <c r="B595" s="14">
        <v>45858</v>
      </c>
      <c r="C595" s="2" t="s">
        <v>25</v>
      </c>
      <c r="D595" s="2" t="s">
        <v>166</v>
      </c>
      <c r="E595" s="2" t="s">
        <v>183</v>
      </c>
      <c r="F595" s="2" t="s">
        <v>190</v>
      </c>
      <c r="G595" s="2" t="s">
        <v>195</v>
      </c>
      <c r="H595" s="2">
        <v>3</v>
      </c>
      <c r="I595" s="5">
        <v>2400</v>
      </c>
      <c r="J595" s="10">
        <v>0.05</v>
      </c>
      <c r="K595" s="7">
        <v>521.08000000000004</v>
      </c>
      <c r="L595" t="b">
        <f t="shared" si="9"/>
        <v>0</v>
      </c>
    </row>
    <row r="596" spans="1:12">
      <c r="A596" s="2">
        <v>100594</v>
      </c>
      <c r="B596" s="14">
        <v>45869</v>
      </c>
      <c r="C596" s="2" t="s">
        <v>42</v>
      </c>
      <c r="D596" s="2" t="s">
        <v>168</v>
      </c>
      <c r="E596" s="2" t="s">
        <v>187</v>
      </c>
      <c r="F596" s="2" t="s">
        <v>189</v>
      </c>
      <c r="G596" s="2" t="s">
        <v>206</v>
      </c>
      <c r="H596" s="2">
        <v>4</v>
      </c>
      <c r="I596" s="5">
        <v>200000</v>
      </c>
      <c r="J596" s="10">
        <v>0.1</v>
      </c>
      <c r="K596" s="7">
        <v>41920.78</v>
      </c>
      <c r="L596" t="b">
        <f t="shared" si="9"/>
        <v>0</v>
      </c>
    </row>
    <row r="597" spans="1:12">
      <c r="A597" s="2">
        <v>100595</v>
      </c>
      <c r="B597" s="14">
        <v>45877</v>
      </c>
      <c r="C597" s="2" t="s">
        <v>55</v>
      </c>
      <c r="D597" s="2" t="s">
        <v>172</v>
      </c>
      <c r="E597" s="2" t="s">
        <v>186</v>
      </c>
      <c r="F597" s="2" t="s">
        <v>192</v>
      </c>
      <c r="G597" s="2" t="s">
        <v>203</v>
      </c>
      <c r="H597" s="2">
        <v>2</v>
      </c>
      <c r="I597" s="5">
        <v>4000</v>
      </c>
      <c r="J597" s="10">
        <v>0.1</v>
      </c>
      <c r="K597" s="7">
        <v>455.69</v>
      </c>
      <c r="L597" t="b">
        <f t="shared" si="9"/>
        <v>0</v>
      </c>
    </row>
    <row r="598" spans="1:12">
      <c r="A598" s="2">
        <v>100596</v>
      </c>
      <c r="B598" s="14">
        <v>45897</v>
      </c>
      <c r="C598" s="2" t="s">
        <v>39</v>
      </c>
      <c r="D598" s="2" t="s">
        <v>174</v>
      </c>
      <c r="E598" s="2" t="s">
        <v>184</v>
      </c>
      <c r="F598" s="2" t="s">
        <v>190</v>
      </c>
      <c r="G598" s="2" t="s">
        <v>204</v>
      </c>
      <c r="H598" s="2">
        <v>1</v>
      </c>
      <c r="I598" s="5">
        <v>500</v>
      </c>
      <c r="J598" s="10">
        <v>0.15</v>
      </c>
      <c r="K598" s="7">
        <v>72.709999999999994</v>
      </c>
      <c r="L598" t="b">
        <f t="shared" si="9"/>
        <v>0</v>
      </c>
    </row>
    <row r="599" spans="1:12">
      <c r="A599" s="2">
        <v>100597</v>
      </c>
      <c r="B599" s="14">
        <v>45703</v>
      </c>
      <c r="C599" s="2" t="s">
        <v>108</v>
      </c>
      <c r="D599" s="2" t="s">
        <v>164</v>
      </c>
      <c r="E599" s="2" t="s">
        <v>183</v>
      </c>
      <c r="F599" s="2" t="s">
        <v>189</v>
      </c>
      <c r="G599" s="2" t="s">
        <v>196</v>
      </c>
      <c r="H599" s="2">
        <v>2</v>
      </c>
      <c r="I599" s="5">
        <v>110000</v>
      </c>
      <c r="J599" s="10">
        <v>0.2</v>
      </c>
      <c r="K599" s="7">
        <v>10689.3</v>
      </c>
      <c r="L599" t="b">
        <f t="shared" si="9"/>
        <v>0</v>
      </c>
    </row>
    <row r="600" spans="1:12">
      <c r="A600" s="2">
        <v>100598</v>
      </c>
      <c r="B600" s="14">
        <v>45749</v>
      </c>
      <c r="C600" s="2" t="s">
        <v>70</v>
      </c>
      <c r="D600" s="2" t="s">
        <v>166</v>
      </c>
      <c r="E600" s="2" t="s">
        <v>181</v>
      </c>
      <c r="F600" s="2" t="s">
        <v>192</v>
      </c>
      <c r="G600" s="2" t="s">
        <v>208</v>
      </c>
      <c r="H600" s="2">
        <v>3</v>
      </c>
      <c r="I600" s="5">
        <v>9600</v>
      </c>
      <c r="J600" s="10">
        <v>0.15</v>
      </c>
      <c r="K600" s="7">
        <v>1021.91</v>
      </c>
      <c r="L600" t="b">
        <f t="shared" si="9"/>
        <v>0</v>
      </c>
    </row>
    <row r="601" spans="1:12">
      <c r="A601" s="2">
        <v>100599</v>
      </c>
      <c r="B601" s="14">
        <v>45939</v>
      </c>
      <c r="C601" s="2" t="s">
        <v>20</v>
      </c>
      <c r="D601" s="2" t="s">
        <v>171</v>
      </c>
      <c r="E601" s="2" t="s">
        <v>187</v>
      </c>
      <c r="F601" s="2" t="s">
        <v>192</v>
      </c>
      <c r="G601" s="2" t="s">
        <v>207</v>
      </c>
      <c r="H601" s="2">
        <v>1</v>
      </c>
      <c r="I601" s="5">
        <v>1800</v>
      </c>
      <c r="J601" s="10">
        <v>0.2</v>
      </c>
      <c r="K601" s="7">
        <v>355.1</v>
      </c>
      <c r="L601" t="b">
        <f t="shared" si="9"/>
        <v>0</v>
      </c>
    </row>
    <row r="602" spans="1:12">
      <c r="A602" s="2">
        <v>100600</v>
      </c>
      <c r="B602" s="14">
        <v>45739</v>
      </c>
      <c r="C602" s="2" t="s">
        <v>133</v>
      </c>
      <c r="D602" s="2" t="s">
        <v>176</v>
      </c>
      <c r="E602" s="2" t="s">
        <v>187</v>
      </c>
      <c r="F602" s="2" t="s">
        <v>191</v>
      </c>
      <c r="G602" s="2" t="s">
        <v>197</v>
      </c>
      <c r="H602" s="2">
        <v>3</v>
      </c>
      <c r="I602" s="5">
        <v>174000</v>
      </c>
      <c r="J602" s="10">
        <v>0.15</v>
      </c>
      <c r="K602" s="7">
        <v>31388.38</v>
      </c>
      <c r="L602" t="b">
        <f t="shared" si="9"/>
        <v>0</v>
      </c>
    </row>
    <row r="603" spans="1:12">
      <c r="A603" s="2">
        <v>100601</v>
      </c>
      <c r="B603" s="14">
        <v>45913</v>
      </c>
      <c r="C603" s="2" t="s">
        <v>77</v>
      </c>
      <c r="D603" s="2" t="s">
        <v>165</v>
      </c>
      <c r="E603" s="2" t="s">
        <v>182</v>
      </c>
      <c r="F603" s="2" t="s">
        <v>190</v>
      </c>
      <c r="G603" s="2" t="s">
        <v>204</v>
      </c>
      <c r="H603" s="2">
        <v>3</v>
      </c>
      <c r="I603" s="5">
        <v>1500</v>
      </c>
      <c r="J603" s="10">
        <v>0.15</v>
      </c>
      <c r="K603" s="7">
        <v>215.11</v>
      </c>
      <c r="L603" t="b">
        <f t="shared" si="9"/>
        <v>0</v>
      </c>
    </row>
    <row r="604" spans="1:12">
      <c r="A604" s="2">
        <v>100602</v>
      </c>
      <c r="B604" s="14">
        <v>45854</v>
      </c>
      <c r="C604" s="2" t="s">
        <v>22</v>
      </c>
      <c r="D604" s="2" t="s">
        <v>168</v>
      </c>
      <c r="E604" s="2" t="s">
        <v>182</v>
      </c>
      <c r="F604" s="2" t="s">
        <v>191</v>
      </c>
      <c r="G604" s="2" t="s">
        <v>202</v>
      </c>
      <c r="H604" s="2">
        <v>4</v>
      </c>
      <c r="I604" s="5">
        <v>152000</v>
      </c>
      <c r="J604" s="10">
        <v>0.2</v>
      </c>
      <c r="K604" s="7">
        <v>21328.12</v>
      </c>
      <c r="L604" t="b">
        <f t="shared" si="9"/>
        <v>0</v>
      </c>
    </row>
    <row r="605" spans="1:12">
      <c r="A605" s="2">
        <v>100603</v>
      </c>
      <c r="B605" s="14">
        <v>45960</v>
      </c>
      <c r="C605" s="2" t="s">
        <v>115</v>
      </c>
      <c r="D605" s="2" t="s">
        <v>176</v>
      </c>
      <c r="E605" s="2" t="s">
        <v>185</v>
      </c>
      <c r="F605" s="2" t="s">
        <v>191</v>
      </c>
      <c r="G605" s="2" t="s">
        <v>202</v>
      </c>
      <c r="H605" s="2">
        <v>1</v>
      </c>
      <c r="I605" s="5">
        <v>38000</v>
      </c>
      <c r="J605" s="10">
        <v>0.15</v>
      </c>
      <c r="K605" s="7">
        <v>4817.91</v>
      </c>
      <c r="L605" t="b">
        <f t="shared" si="9"/>
        <v>0</v>
      </c>
    </row>
    <row r="606" spans="1:12">
      <c r="A606" s="2">
        <v>100604</v>
      </c>
      <c r="B606" s="14">
        <v>45931</v>
      </c>
      <c r="C606" s="2" t="s">
        <v>152</v>
      </c>
      <c r="D606" s="2" t="s">
        <v>177</v>
      </c>
      <c r="E606" s="2" t="s">
        <v>183</v>
      </c>
      <c r="F606" s="2" t="s">
        <v>192</v>
      </c>
      <c r="G606" s="2" t="s">
        <v>207</v>
      </c>
      <c r="H606" s="2">
        <v>1</v>
      </c>
      <c r="I606" s="5">
        <v>1800</v>
      </c>
      <c r="J606" s="10">
        <v>0.2</v>
      </c>
      <c r="K606" s="7">
        <v>346.97</v>
      </c>
      <c r="L606" t="b">
        <f t="shared" si="9"/>
        <v>0</v>
      </c>
    </row>
    <row r="607" spans="1:12">
      <c r="A607" s="2">
        <v>100605</v>
      </c>
      <c r="B607" s="14">
        <v>45880</v>
      </c>
      <c r="C607" s="2" t="s">
        <v>132</v>
      </c>
      <c r="D607" s="2" t="s">
        <v>171</v>
      </c>
      <c r="E607" s="2" t="s">
        <v>182</v>
      </c>
      <c r="F607" s="2" t="s">
        <v>192</v>
      </c>
      <c r="G607" s="2" t="s">
        <v>207</v>
      </c>
      <c r="H607" s="2">
        <v>4</v>
      </c>
      <c r="I607" s="5">
        <v>7200</v>
      </c>
      <c r="J607" s="10">
        <v>0.1</v>
      </c>
      <c r="K607" s="7">
        <v>1061.8699999999999</v>
      </c>
      <c r="L607" t="b">
        <f t="shared" si="9"/>
        <v>0</v>
      </c>
    </row>
    <row r="608" spans="1:12">
      <c r="A608" s="2">
        <v>100606</v>
      </c>
      <c r="B608" s="14">
        <v>45943</v>
      </c>
      <c r="C608" s="2" t="s">
        <v>89</v>
      </c>
      <c r="D608" s="2" t="s">
        <v>166</v>
      </c>
      <c r="E608" s="2" t="s">
        <v>185</v>
      </c>
      <c r="F608" s="2" t="s">
        <v>192</v>
      </c>
      <c r="G608" s="2" t="s">
        <v>203</v>
      </c>
      <c r="H608" s="2">
        <v>2</v>
      </c>
      <c r="I608" s="5">
        <v>4000</v>
      </c>
      <c r="J608" s="10">
        <v>0.15</v>
      </c>
      <c r="K608" s="7">
        <v>501.32</v>
      </c>
      <c r="L608" t="b">
        <f t="shared" si="9"/>
        <v>0</v>
      </c>
    </row>
    <row r="609" spans="1:12">
      <c r="A609" s="2">
        <v>100607</v>
      </c>
      <c r="B609" s="14">
        <v>45899</v>
      </c>
      <c r="C609" s="2" t="s">
        <v>47</v>
      </c>
      <c r="D609" s="2" t="s">
        <v>174</v>
      </c>
      <c r="E609" s="2" t="s">
        <v>184</v>
      </c>
      <c r="F609" s="2" t="s">
        <v>191</v>
      </c>
      <c r="G609" s="2" t="s">
        <v>202</v>
      </c>
      <c r="H609" s="2">
        <v>1</v>
      </c>
      <c r="I609" s="5">
        <v>38000</v>
      </c>
      <c r="J609" s="10">
        <v>0.2</v>
      </c>
      <c r="K609" s="7">
        <v>5594.5</v>
      </c>
      <c r="L609" t="b">
        <f t="shared" si="9"/>
        <v>0</v>
      </c>
    </row>
    <row r="610" spans="1:12">
      <c r="A610" s="2">
        <v>100608</v>
      </c>
      <c r="B610" s="14">
        <v>45878</v>
      </c>
      <c r="C610" s="2" t="s">
        <v>69</v>
      </c>
      <c r="D610" s="2" t="s">
        <v>177</v>
      </c>
      <c r="E610" s="2" t="s">
        <v>184</v>
      </c>
      <c r="F610" s="2" t="s">
        <v>189</v>
      </c>
      <c r="G610" s="2" t="s">
        <v>193</v>
      </c>
      <c r="H610" s="2">
        <v>3</v>
      </c>
      <c r="I610" s="5">
        <v>255000</v>
      </c>
      <c r="J610" s="10">
        <v>0.15</v>
      </c>
      <c r="K610" s="7">
        <v>37128.06</v>
      </c>
      <c r="L610" t="b">
        <f t="shared" si="9"/>
        <v>0</v>
      </c>
    </row>
    <row r="611" spans="1:12">
      <c r="A611" s="2">
        <v>100609</v>
      </c>
      <c r="B611" s="14">
        <v>45778</v>
      </c>
      <c r="C611" s="2" t="s">
        <v>88</v>
      </c>
      <c r="D611" s="2" t="s">
        <v>164</v>
      </c>
      <c r="E611" s="2" t="s">
        <v>182</v>
      </c>
      <c r="F611" s="2" t="s">
        <v>191</v>
      </c>
      <c r="G611" s="2" t="s">
        <v>209</v>
      </c>
      <c r="H611" s="2">
        <v>3</v>
      </c>
      <c r="I611" s="5">
        <v>78000</v>
      </c>
      <c r="J611" s="10">
        <v>0.05</v>
      </c>
      <c r="K611" s="7">
        <v>14402.04</v>
      </c>
      <c r="L611" t="b">
        <f t="shared" si="9"/>
        <v>0</v>
      </c>
    </row>
    <row r="612" spans="1:12">
      <c r="A612" s="2">
        <v>100610</v>
      </c>
      <c r="B612" s="14">
        <v>45776</v>
      </c>
      <c r="C612" s="2" t="s">
        <v>37</v>
      </c>
      <c r="D612" s="2" t="s">
        <v>173</v>
      </c>
      <c r="E612" s="2" t="s">
        <v>183</v>
      </c>
      <c r="F612" s="2" t="s">
        <v>192</v>
      </c>
      <c r="G612" s="2" t="s">
        <v>203</v>
      </c>
      <c r="H612" s="2">
        <v>3</v>
      </c>
      <c r="I612" s="5">
        <v>6000</v>
      </c>
      <c r="J612" s="10">
        <v>0.15</v>
      </c>
      <c r="K612" s="7">
        <v>714.04</v>
      </c>
      <c r="L612" t="b">
        <f t="shared" si="9"/>
        <v>0</v>
      </c>
    </row>
    <row r="613" spans="1:12">
      <c r="A613" s="2">
        <v>100611</v>
      </c>
      <c r="B613" s="14">
        <v>45946</v>
      </c>
      <c r="C613" s="2" t="s">
        <v>40</v>
      </c>
      <c r="D613" s="2" t="s">
        <v>167</v>
      </c>
      <c r="E613" s="2" t="s">
        <v>187</v>
      </c>
      <c r="F613" s="2" t="s">
        <v>192</v>
      </c>
      <c r="G613" s="2" t="s">
        <v>203</v>
      </c>
      <c r="H613" s="2">
        <v>2</v>
      </c>
      <c r="I613" s="5">
        <v>4000</v>
      </c>
      <c r="J613" s="10">
        <v>0.15</v>
      </c>
      <c r="K613" s="7">
        <v>567.6</v>
      </c>
      <c r="L613" t="b">
        <f t="shared" si="9"/>
        <v>0</v>
      </c>
    </row>
    <row r="614" spans="1:12">
      <c r="A614" s="2">
        <v>100612</v>
      </c>
      <c r="B614" s="14">
        <v>45811</v>
      </c>
      <c r="C614" s="2" t="s">
        <v>78</v>
      </c>
      <c r="D614" s="2" t="s">
        <v>173</v>
      </c>
      <c r="E614" s="2" t="s">
        <v>188</v>
      </c>
      <c r="F614" s="2" t="s">
        <v>191</v>
      </c>
      <c r="G614" s="2" t="s">
        <v>209</v>
      </c>
      <c r="H614" s="2">
        <v>4</v>
      </c>
      <c r="I614" s="5">
        <v>104000</v>
      </c>
      <c r="J614" s="10">
        <v>0.1</v>
      </c>
      <c r="K614" s="7">
        <v>11921.69</v>
      </c>
      <c r="L614" t="b">
        <f t="shared" si="9"/>
        <v>0</v>
      </c>
    </row>
    <row r="615" spans="1:12">
      <c r="A615" s="2">
        <v>100613</v>
      </c>
      <c r="B615" s="14">
        <v>45803</v>
      </c>
      <c r="C615" s="2" t="s">
        <v>72</v>
      </c>
      <c r="D615" s="2" t="s">
        <v>172</v>
      </c>
      <c r="E615" s="2" t="s">
        <v>186</v>
      </c>
      <c r="F615" s="2" t="s">
        <v>192</v>
      </c>
      <c r="G615" s="2" t="s">
        <v>205</v>
      </c>
      <c r="H615" s="2">
        <v>1</v>
      </c>
      <c r="I615" s="5">
        <v>4500</v>
      </c>
      <c r="J615" s="10">
        <v>0.15</v>
      </c>
      <c r="K615" s="7">
        <v>805.66</v>
      </c>
      <c r="L615" t="b">
        <f t="shared" si="9"/>
        <v>0</v>
      </c>
    </row>
    <row r="616" spans="1:12">
      <c r="A616" s="2">
        <v>100614</v>
      </c>
      <c r="B616" s="14">
        <v>45999</v>
      </c>
      <c r="C616" s="2" t="s">
        <v>78</v>
      </c>
      <c r="D616" s="2" t="s">
        <v>173</v>
      </c>
      <c r="E616" s="2" t="s">
        <v>183</v>
      </c>
      <c r="F616" s="2" t="s">
        <v>189</v>
      </c>
      <c r="G616" s="2" t="s">
        <v>196</v>
      </c>
      <c r="H616" s="2">
        <v>2</v>
      </c>
      <c r="I616" s="5">
        <v>110000</v>
      </c>
      <c r="J616" s="10">
        <v>0.1</v>
      </c>
      <c r="K616" s="7">
        <v>15223.99</v>
      </c>
      <c r="L616" t="b">
        <f t="shared" si="9"/>
        <v>0</v>
      </c>
    </row>
    <row r="617" spans="1:12">
      <c r="A617" s="2">
        <v>100615</v>
      </c>
      <c r="B617" s="14">
        <v>45896</v>
      </c>
      <c r="C617" s="2" t="s">
        <v>30</v>
      </c>
      <c r="D617" s="2" t="s">
        <v>165</v>
      </c>
      <c r="E617" s="2" t="s">
        <v>186</v>
      </c>
      <c r="F617" s="2" t="s">
        <v>191</v>
      </c>
      <c r="G617" s="2" t="s">
        <v>209</v>
      </c>
      <c r="H617" s="2">
        <v>4</v>
      </c>
      <c r="I617" s="5">
        <v>104000</v>
      </c>
      <c r="J617" s="10">
        <v>0.15</v>
      </c>
      <c r="K617" s="7">
        <v>14024.42</v>
      </c>
      <c r="L617" t="b">
        <f t="shared" si="9"/>
        <v>0</v>
      </c>
    </row>
    <row r="618" spans="1:12">
      <c r="A618" s="2">
        <v>100616</v>
      </c>
      <c r="B618" s="14">
        <v>45834</v>
      </c>
      <c r="C618" s="2" t="s">
        <v>38</v>
      </c>
      <c r="D618" s="2" t="s">
        <v>168</v>
      </c>
      <c r="E618" s="2" t="s">
        <v>181</v>
      </c>
      <c r="F618" s="2" t="s">
        <v>190</v>
      </c>
      <c r="G618" s="2" t="s">
        <v>195</v>
      </c>
      <c r="H618" s="2">
        <v>3</v>
      </c>
      <c r="I618" s="5">
        <v>2400</v>
      </c>
      <c r="J618" s="10">
        <v>0.1</v>
      </c>
      <c r="K618" s="7">
        <v>326.74</v>
      </c>
      <c r="L618" t="b">
        <f t="shared" si="9"/>
        <v>0</v>
      </c>
    </row>
    <row r="619" spans="1:12">
      <c r="A619" s="2">
        <v>100617</v>
      </c>
      <c r="B619" s="14">
        <v>45924</v>
      </c>
      <c r="C619" s="2" t="s">
        <v>101</v>
      </c>
      <c r="D619" s="2" t="s">
        <v>178</v>
      </c>
      <c r="E619" s="2" t="s">
        <v>184</v>
      </c>
      <c r="F619" s="2" t="s">
        <v>190</v>
      </c>
      <c r="G619" s="2" t="s">
        <v>195</v>
      </c>
      <c r="H619" s="2">
        <v>1</v>
      </c>
      <c r="I619" s="5">
        <v>800</v>
      </c>
      <c r="J619" s="10">
        <v>0.2</v>
      </c>
      <c r="K619" s="7">
        <v>132.80000000000001</v>
      </c>
      <c r="L619" t="b">
        <f t="shared" si="9"/>
        <v>0</v>
      </c>
    </row>
    <row r="620" spans="1:12">
      <c r="A620" s="2">
        <v>100618</v>
      </c>
      <c r="B620" s="14">
        <v>45850</v>
      </c>
      <c r="C620" s="2" t="s">
        <v>72</v>
      </c>
      <c r="D620" s="2" t="s">
        <v>172</v>
      </c>
      <c r="E620" s="2" t="s">
        <v>182</v>
      </c>
      <c r="F620" s="2" t="s">
        <v>192</v>
      </c>
      <c r="G620" s="2" t="s">
        <v>205</v>
      </c>
      <c r="H620" s="2">
        <v>2</v>
      </c>
      <c r="I620" s="5">
        <v>9000</v>
      </c>
      <c r="J620" s="10">
        <v>0.05</v>
      </c>
      <c r="K620" s="7">
        <v>1199.75</v>
      </c>
      <c r="L620" t="b">
        <f t="shared" si="9"/>
        <v>0</v>
      </c>
    </row>
    <row r="621" spans="1:12">
      <c r="A621" s="2">
        <v>100619</v>
      </c>
      <c r="B621" s="14">
        <v>45910</v>
      </c>
      <c r="C621" s="2" t="s">
        <v>86</v>
      </c>
      <c r="D621" s="2" t="s">
        <v>168</v>
      </c>
      <c r="E621" s="2" t="s">
        <v>182</v>
      </c>
      <c r="F621" s="2" t="s">
        <v>191</v>
      </c>
      <c r="G621" s="2" t="s">
        <v>202</v>
      </c>
      <c r="H621" s="2">
        <v>1</v>
      </c>
      <c r="I621" s="5">
        <v>38000</v>
      </c>
      <c r="J621" s="10">
        <v>0.1</v>
      </c>
      <c r="K621" s="7">
        <v>7088.47</v>
      </c>
      <c r="L621" t="b">
        <f t="shared" si="9"/>
        <v>0</v>
      </c>
    </row>
    <row r="622" spans="1:12">
      <c r="A622" s="2">
        <v>100620</v>
      </c>
      <c r="B622" s="14">
        <v>45750</v>
      </c>
      <c r="C622" s="2" t="s">
        <v>22</v>
      </c>
      <c r="D622" s="2" t="s">
        <v>168</v>
      </c>
      <c r="E622" s="2" t="s">
        <v>186</v>
      </c>
      <c r="F622" s="2" t="s">
        <v>189</v>
      </c>
      <c r="G622" s="2" t="s">
        <v>198</v>
      </c>
      <c r="H622" s="2">
        <v>2</v>
      </c>
      <c r="I622" s="5">
        <v>90000</v>
      </c>
      <c r="J622" s="10">
        <v>0.05</v>
      </c>
      <c r="K622" s="7">
        <v>21292.55</v>
      </c>
      <c r="L622" t="b">
        <f t="shared" si="9"/>
        <v>0</v>
      </c>
    </row>
    <row r="623" spans="1:12">
      <c r="A623" s="2">
        <v>100621</v>
      </c>
      <c r="B623" s="14">
        <v>45785</v>
      </c>
      <c r="C623" s="2" t="s">
        <v>156</v>
      </c>
      <c r="D623" s="2" t="s">
        <v>176</v>
      </c>
      <c r="E623" s="2" t="s">
        <v>187</v>
      </c>
      <c r="F623" s="2" t="s">
        <v>191</v>
      </c>
      <c r="G623" s="2" t="s">
        <v>202</v>
      </c>
      <c r="H623" s="2">
        <v>3</v>
      </c>
      <c r="I623" s="5">
        <v>114000</v>
      </c>
      <c r="J623" s="10">
        <v>0.2</v>
      </c>
      <c r="K623" s="7">
        <v>22530.63</v>
      </c>
      <c r="L623" t="b">
        <f t="shared" si="9"/>
        <v>0</v>
      </c>
    </row>
    <row r="624" spans="1:12">
      <c r="A624" s="2">
        <v>100622</v>
      </c>
      <c r="B624" s="14">
        <v>45881</v>
      </c>
      <c r="C624" s="2" t="s">
        <v>116</v>
      </c>
      <c r="D624" s="2" t="s">
        <v>164</v>
      </c>
      <c r="E624" s="2" t="s">
        <v>186</v>
      </c>
      <c r="F624" s="2" t="s">
        <v>191</v>
      </c>
      <c r="G624" s="2" t="s">
        <v>202</v>
      </c>
      <c r="H624" s="2">
        <v>4</v>
      </c>
      <c r="I624" s="5">
        <v>152000</v>
      </c>
      <c r="J624" s="10">
        <v>0.15</v>
      </c>
      <c r="K624" s="7">
        <v>25208.85</v>
      </c>
      <c r="L624" t="b">
        <f t="shared" si="9"/>
        <v>0</v>
      </c>
    </row>
    <row r="625" spans="1:12">
      <c r="A625" s="2">
        <v>100623</v>
      </c>
      <c r="B625" s="14">
        <v>45972</v>
      </c>
      <c r="C625" s="2" t="s">
        <v>38</v>
      </c>
      <c r="D625" s="2" t="s">
        <v>168</v>
      </c>
      <c r="E625" s="2" t="s">
        <v>181</v>
      </c>
      <c r="F625" s="2" t="s">
        <v>189</v>
      </c>
      <c r="G625" s="2" t="s">
        <v>196</v>
      </c>
      <c r="H625" s="2">
        <v>3</v>
      </c>
      <c r="I625" s="5">
        <v>165000</v>
      </c>
      <c r="J625" s="10">
        <v>0.05</v>
      </c>
      <c r="K625" s="7">
        <v>34460.03</v>
      </c>
      <c r="L625" t="b">
        <f t="shared" si="9"/>
        <v>0</v>
      </c>
    </row>
    <row r="626" spans="1:12">
      <c r="A626" s="2">
        <v>100624</v>
      </c>
      <c r="B626" s="14">
        <v>45940</v>
      </c>
      <c r="C626" s="2" t="s">
        <v>148</v>
      </c>
      <c r="D626" s="2" t="s">
        <v>178</v>
      </c>
      <c r="E626" s="2" t="s">
        <v>187</v>
      </c>
      <c r="F626" s="2" t="s">
        <v>190</v>
      </c>
      <c r="G626" s="2" t="s">
        <v>204</v>
      </c>
      <c r="H626" s="2">
        <v>2</v>
      </c>
      <c r="I626" s="5">
        <v>1000</v>
      </c>
      <c r="J626" s="10">
        <v>0.1</v>
      </c>
      <c r="K626" s="7">
        <v>180.4</v>
      </c>
      <c r="L626" t="b">
        <f t="shared" si="9"/>
        <v>0</v>
      </c>
    </row>
    <row r="627" spans="1:12">
      <c r="A627" s="2">
        <v>100625</v>
      </c>
      <c r="B627" s="14">
        <v>45834</v>
      </c>
      <c r="C627" s="2" t="s">
        <v>38</v>
      </c>
      <c r="D627" s="2" t="s">
        <v>168</v>
      </c>
      <c r="E627" s="2" t="s">
        <v>181</v>
      </c>
      <c r="F627" s="2" t="s">
        <v>192</v>
      </c>
      <c r="G627" s="2" t="s">
        <v>203</v>
      </c>
      <c r="H627" s="2">
        <v>4</v>
      </c>
      <c r="I627" s="5">
        <v>8000</v>
      </c>
      <c r="J627" s="10">
        <v>0.2</v>
      </c>
      <c r="K627" s="7">
        <v>1304.52</v>
      </c>
      <c r="L627" t="b">
        <f t="shared" si="9"/>
        <v>0</v>
      </c>
    </row>
    <row r="628" spans="1:12">
      <c r="A628" s="2">
        <v>100626</v>
      </c>
      <c r="B628" s="14">
        <v>45873</v>
      </c>
      <c r="C628" s="2" t="s">
        <v>47</v>
      </c>
      <c r="D628" s="2" t="s">
        <v>174</v>
      </c>
      <c r="E628" s="2" t="s">
        <v>188</v>
      </c>
      <c r="F628" s="2" t="s">
        <v>190</v>
      </c>
      <c r="G628" s="2" t="s">
        <v>201</v>
      </c>
      <c r="H628" s="2">
        <v>3</v>
      </c>
      <c r="I628" s="5">
        <v>4500</v>
      </c>
      <c r="J628" s="10">
        <v>0.15</v>
      </c>
      <c r="K628" s="7">
        <v>597.70000000000005</v>
      </c>
      <c r="L628" t="b">
        <f t="shared" si="9"/>
        <v>0</v>
      </c>
    </row>
    <row r="629" spans="1:12">
      <c r="A629" s="2">
        <v>100627</v>
      </c>
      <c r="B629" s="14">
        <v>45762</v>
      </c>
      <c r="C629" s="2" t="s">
        <v>39</v>
      </c>
      <c r="D629" s="2" t="s">
        <v>174</v>
      </c>
      <c r="E629" s="2" t="s">
        <v>184</v>
      </c>
      <c r="F629" s="2" t="s">
        <v>190</v>
      </c>
      <c r="G629" s="2" t="s">
        <v>195</v>
      </c>
      <c r="H629" s="2">
        <v>1</v>
      </c>
      <c r="I629" s="5">
        <v>800</v>
      </c>
      <c r="J629" s="10">
        <v>0.2</v>
      </c>
      <c r="K629" s="7">
        <v>126.99</v>
      </c>
      <c r="L629" t="b">
        <f t="shared" si="9"/>
        <v>0</v>
      </c>
    </row>
    <row r="630" spans="1:12">
      <c r="A630" s="2">
        <v>100628</v>
      </c>
      <c r="B630" s="14">
        <v>45904</v>
      </c>
      <c r="C630" s="2" t="s">
        <v>114</v>
      </c>
      <c r="D630" s="2" t="s">
        <v>169</v>
      </c>
      <c r="E630" s="2" t="s">
        <v>182</v>
      </c>
      <c r="F630" s="2" t="s">
        <v>190</v>
      </c>
      <c r="G630" s="2" t="s">
        <v>199</v>
      </c>
      <c r="H630" s="2">
        <v>4</v>
      </c>
      <c r="I630" s="5">
        <v>7200</v>
      </c>
      <c r="J630" s="10">
        <v>0.15</v>
      </c>
      <c r="K630" s="7">
        <v>1109.0899999999999</v>
      </c>
      <c r="L630" t="b">
        <f t="shared" si="9"/>
        <v>0</v>
      </c>
    </row>
    <row r="631" spans="1:12">
      <c r="A631" s="2">
        <v>100629</v>
      </c>
      <c r="B631" s="14">
        <v>45849</v>
      </c>
      <c r="C631" s="2" t="s">
        <v>125</v>
      </c>
      <c r="D631" s="2" t="s">
        <v>176</v>
      </c>
      <c r="E631" s="2" t="s">
        <v>182</v>
      </c>
      <c r="F631" s="2" t="s">
        <v>190</v>
      </c>
      <c r="G631" s="2" t="s">
        <v>204</v>
      </c>
      <c r="H631" s="2">
        <v>4</v>
      </c>
      <c r="I631" s="5">
        <v>2000</v>
      </c>
      <c r="J631" s="10">
        <v>0.05</v>
      </c>
      <c r="K631" s="7">
        <v>389.07</v>
      </c>
      <c r="L631" t="b">
        <f t="shared" si="9"/>
        <v>0</v>
      </c>
    </row>
    <row r="632" spans="1:12">
      <c r="A632" s="2">
        <v>100630</v>
      </c>
      <c r="B632" s="14">
        <v>45809</v>
      </c>
      <c r="C632" s="2" t="s">
        <v>93</v>
      </c>
      <c r="D632" s="2" t="s">
        <v>177</v>
      </c>
      <c r="E632" s="2" t="s">
        <v>188</v>
      </c>
      <c r="F632" s="2" t="s">
        <v>189</v>
      </c>
      <c r="G632" s="2" t="s">
        <v>194</v>
      </c>
      <c r="H632" s="2">
        <v>3</v>
      </c>
      <c r="I632" s="5">
        <v>186000</v>
      </c>
      <c r="J632" s="10">
        <v>0.1</v>
      </c>
      <c r="K632" s="7">
        <v>33198.949999999997</v>
      </c>
      <c r="L632" t="b">
        <f t="shared" si="9"/>
        <v>0</v>
      </c>
    </row>
    <row r="633" spans="1:12">
      <c r="A633" s="2">
        <v>100631</v>
      </c>
      <c r="B633" s="14">
        <v>45854</v>
      </c>
      <c r="C633" s="2" t="s">
        <v>125</v>
      </c>
      <c r="D633" s="2" t="s">
        <v>176</v>
      </c>
      <c r="E633" s="2" t="s">
        <v>185</v>
      </c>
      <c r="F633" s="2" t="s">
        <v>192</v>
      </c>
      <c r="G633" s="2" t="s">
        <v>207</v>
      </c>
      <c r="H633" s="2">
        <v>3</v>
      </c>
      <c r="I633" s="5">
        <v>5400</v>
      </c>
      <c r="J633" s="10">
        <v>0.1</v>
      </c>
      <c r="K633" s="7">
        <v>765.05</v>
      </c>
      <c r="L633" t="b">
        <f t="shared" si="9"/>
        <v>0</v>
      </c>
    </row>
    <row r="634" spans="1:12">
      <c r="A634" s="2">
        <v>100632</v>
      </c>
      <c r="B634" s="14">
        <v>46008</v>
      </c>
      <c r="C634" s="2" t="s">
        <v>29</v>
      </c>
      <c r="D634" s="2" t="s">
        <v>169</v>
      </c>
      <c r="E634" s="2" t="s">
        <v>184</v>
      </c>
      <c r="F634" s="2" t="s">
        <v>191</v>
      </c>
      <c r="G634" s="2" t="s">
        <v>202</v>
      </c>
      <c r="H634" s="2">
        <v>3</v>
      </c>
      <c r="I634" s="5">
        <v>114000</v>
      </c>
      <c r="J634" s="10">
        <v>0.05</v>
      </c>
      <c r="K634" s="7">
        <v>14897.79</v>
      </c>
      <c r="L634" t="b">
        <f t="shared" si="9"/>
        <v>0</v>
      </c>
    </row>
    <row r="635" spans="1:12">
      <c r="A635" s="2">
        <v>100633</v>
      </c>
      <c r="B635" s="14">
        <v>45790</v>
      </c>
      <c r="C635" s="2" t="s">
        <v>59</v>
      </c>
      <c r="D635" s="2" t="s">
        <v>165</v>
      </c>
      <c r="E635" s="2" t="s">
        <v>187</v>
      </c>
      <c r="F635" s="2" t="s">
        <v>190</v>
      </c>
      <c r="G635" s="2" t="s">
        <v>199</v>
      </c>
      <c r="H635" s="2">
        <v>3</v>
      </c>
      <c r="I635" s="5">
        <v>5400</v>
      </c>
      <c r="J635" s="10">
        <v>0.05</v>
      </c>
      <c r="K635" s="7">
        <v>1245.1099999999999</v>
      </c>
      <c r="L635" t="b">
        <f t="shared" si="9"/>
        <v>0</v>
      </c>
    </row>
    <row r="636" spans="1:12">
      <c r="A636" s="2">
        <v>100634</v>
      </c>
      <c r="B636" s="14">
        <v>46015</v>
      </c>
      <c r="C636" s="2" t="s">
        <v>143</v>
      </c>
      <c r="D636" s="2" t="s">
        <v>174</v>
      </c>
      <c r="E636" s="2" t="s">
        <v>188</v>
      </c>
      <c r="F636" s="2" t="s">
        <v>189</v>
      </c>
      <c r="G636" s="2" t="s">
        <v>194</v>
      </c>
      <c r="H636" s="2">
        <v>4</v>
      </c>
      <c r="I636" s="5">
        <v>248000</v>
      </c>
      <c r="J636" s="10">
        <v>0.1</v>
      </c>
      <c r="K636" s="7">
        <v>39233.67</v>
      </c>
      <c r="L636" t="b">
        <f t="shared" si="9"/>
        <v>0</v>
      </c>
    </row>
    <row r="637" spans="1:12">
      <c r="A637" s="2">
        <v>100635</v>
      </c>
      <c r="B637" s="14">
        <v>45916</v>
      </c>
      <c r="C637" s="2" t="s">
        <v>42</v>
      </c>
      <c r="D637" s="2" t="s">
        <v>168</v>
      </c>
      <c r="E637" s="2" t="s">
        <v>187</v>
      </c>
      <c r="F637" s="2" t="s">
        <v>191</v>
      </c>
      <c r="G637" s="2" t="s">
        <v>209</v>
      </c>
      <c r="H637" s="2">
        <v>1</v>
      </c>
      <c r="I637" s="5">
        <v>26000</v>
      </c>
      <c r="J637" s="10">
        <v>0.2</v>
      </c>
      <c r="K637" s="7">
        <v>3107.84</v>
      </c>
      <c r="L637" t="b">
        <f t="shared" si="9"/>
        <v>0</v>
      </c>
    </row>
    <row r="638" spans="1:12">
      <c r="A638" s="2">
        <v>100636</v>
      </c>
      <c r="B638" s="14">
        <v>45680</v>
      </c>
      <c r="C638" s="2" t="s">
        <v>103</v>
      </c>
      <c r="D638" s="2" t="s">
        <v>172</v>
      </c>
      <c r="E638" s="2" t="s">
        <v>186</v>
      </c>
      <c r="F638" s="2" t="s">
        <v>192</v>
      </c>
      <c r="G638" s="2" t="s">
        <v>205</v>
      </c>
      <c r="H638" s="2">
        <v>4</v>
      </c>
      <c r="I638" s="5">
        <v>18000</v>
      </c>
      <c r="J638" s="10">
        <v>0.05</v>
      </c>
      <c r="K638" s="7">
        <v>3442.11</v>
      </c>
      <c r="L638" t="b">
        <f t="shared" si="9"/>
        <v>0</v>
      </c>
    </row>
    <row r="639" spans="1:12">
      <c r="A639" s="2">
        <v>100637</v>
      </c>
      <c r="B639" s="14">
        <v>45710</v>
      </c>
      <c r="C639" s="2" t="s">
        <v>54</v>
      </c>
      <c r="D639" s="2" t="s">
        <v>170</v>
      </c>
      <c r="E639" s="2" t="s">
        <v>183</v>
      </c>
      <c r="F639" s="2" t="s">
        <v>189</v>
      </c>
      <c r="G639" s="2" t="s">
        <v>194</v>
      </c>
      <c r="H639" s="2">
        <v>3</v>
      </c>
      <c r="I639" s="5">
        <v>186000</v>
      </c>
      <c r="J639" s="10">
        <v>0.05</v>
      </c>
      <c r="K639" s="7">
        <v>36144.92</v>
      </c>
      <c r="L639" t="b">
        <f t="shared" si="9"/>
        <v>0</v>
      </c>
    </row>
    <row r="640" spans="1:12">
      <c r="A640" s="2">
        <v>100638</v>
      </c>
      <c r="B640" s="14">
        <v>45822</v>
      </c>
      <c r="C640" s="2" t="s">
        <v>32</v>
      </c>
      <c r="D640" s="2" t="s">
        <v>165</v>
      </c>
      <c r="E640" s="2" t="s">
        <v>182</v>
      </c>
      <c r="F640" s="2" t="s">
        <v>189</v>
      </c>
      <c r="G640" s="2" t="s">
        <v>206</v>
      </c>
      <c r="H640" s="2">
        <v>4</v>
      </c>
      <c r="I640" s="5">
        <v>200000</v>
      </c>
      <c r="J640" s="10">
        <v>0.1</v>
      </c>
      <c r="K640" s="7">
        <v>22652.93</v>
      </c>
      <c r="L640" t="b">
        <f t="shared" si="9"/>
        <v>0</v>
      </c>
    </row>
    <row r="641" spans="1:12">
      <c r="A641" s="2">
        <v>100639</v>
      </c>
      <c r="B641" s="14">
        <v>45859</v>
      </c>
      <c r="C641" s="2" t="s">
        <v>160</v>
      </c>
      <c r="D641" s="2" t="s">
        <v>172</v>
      </c>
      <c r="E641" s="2" t="s">
        <v>187</v>
      </c>
      <c r="F641" s="2" t="s">
        <v>189</v>
      </c>
      <c r="G641" s="2" t="s">
        <v>194</v>
      </c>
      <c r="H641" s="2">
        <v>4</v>
      </c>
      <c r="I641" s="5">
        <v>248000</v>
      </c>
      <c r="J641" s="10">
        <v>0.1</v>
      </c>
      <c r="K641" s="7">
        <v>44023.62</v>
      </c>
      <c r="L641" t="b">
        <f t="shared" si="9"/>
        <v>0</v>
      </c>
    </row>
    <row r="642" spans="1:12">
      <c r="A642" s="2">
        <v>100640</v>
      </c>
      <c r="B642" s="14">
        <v>45740</v>
      </c>
      <c r="C642" s="2" t="s">
        <v>108</v>
      </c>
      <c r="D642" s="2" t="s">
        <v>164</v>
      </c>
      <c r="E642" s="2" t="s">
        <v>181</v>
      </c>
      <c r="F642" s="2" t="s">
        <v>192</v>
      </c>
      <c r="G642" s="2" t="s">
        <v>207</v>
      </c>
      <c r="H642" s="2">
        <v>1</v>
      </c>
      <c r="I642" s="5">
        <v>1800</v>
      </c>
      <c r="J642" s="10">
        <v>0.2</v>
      </c>
      <c r="K642" s="7">
        <v>178.01</v>
      </c>
      <c r="L642" t="b">
        <f t="shared" si="9"/>
        <v>0</v>
      </c>
    </row>
    <row r="643" spans="1:12">
      <c r="A643" s="2">
        <v>100641</v>
      </c>
      <c r="B643" s="14">
        <v>45802</v>
      </c>
      <c r="C643" s="2" t="s">
        <v>56</v>
      </c>
      <c r="D643" s="2" t="s">
        <v>171</v>
      </c>
      <c r="E643" s="2" t="s">
        <v>187</v>
      </c>
      <c r="F643" s="2" t="s">
        <v>191</v>
      </c>
      <c r="G643" s="2" t="s">
        <v>209</v>
      </c>
      <c r="H643" s="2">
        <v>1</v>
      </c>
      <c r="I643" s="5">
        <v>26000</v>
      </c>
      <c r="J643" s="10">
        <v>0.1</v>
      </c>
      <c r="K643" s="7">
        <v>5369.41</v>
      </c>
      <c r="L643" t="b">
        <f t="shared" ref="L643:L706" si="10">COUNTIF(A:A, A643) &gt; 1</f>
        <v>0</v>
      </c>
    </row>
    <row r="644" spans="1:12">
      <c r="A644" s="2">
        <v>100642</v>
      </c>
      <c r="B644" s="14">
        <v>45742</v>
      </c>
      <c r="C644" s="2" t="s">
        <v>79</v>
      </c>
      <c r="D644" s="2" t="s">
        <v>165</v>
      </c>
      <c r="E644" s="2" t="s">
        <v>183</v>
      </c>
      <c r="F644" s="2" t="s">
        <v>190</v>
      </c>
      <c r="G644" s="2" t="s">
        <v>204</v>
      </c>
      <c r="H644" s="2">
        <v>2</v>
      </c>
      <c r="I644" s="5">
        <v>1000</v>
      </c>
      <c r="J644" s="10">
        <v>0.05</v>
      </c>
      <c r="K644" s="7">
        <v>197.1</v>
      </c>
      <c r="L644" t="b">
        <f t="shared" si="10"/>
        <v>0</v>
      </c>
    </row>
    <row r="645" spans="1:12">
      <c r="A645" s="2">
        <v>100643</v>
      </c>
      <c r="B645" s="14">
        <v>45735</v>
      </c>
      <c r="C645" s="2" t="s">
        <v>44</v>
      </c>
      <c r="D645" s="2" t="s">
        <v>165</v>
      </c>
      <c r="E645" s="2" t="s">
        <v>184</v>
      </c>
      <c r="F645" s="2" t="s">
        <v>192</v>
      </c>
      <c r="G645" s="2" t="s">
        <v>207</v>
      </c>
      <c r="H645" s="2">
        <v>2</v>
      </c>
      <c r="I645" s="5">
        <v>3600</v>
      </c>
      <c r="J645" s="10">
        <v>0.15</v>
      </c>
      <c r="K645" s="7">
        <v>619.16999999999996</v>
      </c>
      <c r="L645" t="b">
        <f t="shared" si="10"/>
        <v>0</v>
      </c>
    </row>
    <row r="646" spans="1:12">
      <c r="A646" s="2">
        <v>100644</v>
      </c>
      <c r="B646" s="14">
        <v>45658</v>
      </c>
      <c r="C646" s="2" t="s">
        <v>136</v>
      </c>
      <c r="D646" s="2" t="s">
        <v>165</v>
      </c>
      <c r="E646" s="2" t="s">
        <v>182</v>
      </c>
      <c r="F646" s="2" t="s">
        <v>189</v>
      </c>
      <c r="G646" s="2" t="s">
        <v>194</v>
      </c>
      <c r="H646" s="2">
        <v>1</v>
      </c>
      <c r="I646" s="5">
        <v>62000</v>
      </c>
      <c r="J646" s="10">
        <v>0.15</v>
      </c>
      <c r="K646" s="7">
        <v>12424.02</v>
      </c>
      <c r="L646" t="b">
        <f t="shared" si="10"/>
        <v>0</v>
      </c>
    </row>
    <row r="647" spans="1:12">
      <c r="A647" s="2">
        <v>100645</v>
      </c>
      <c r="B647" s="14">
        <v>45708</v>
      </c>
      <c r="C647" s="2" t="s">
        <v>106</v>
      </c>
      <c r="D647" s="2" t="s">
        <v>170</v>
      </c>
      <c r="E647" s="2" t="s">
        <v>186</v>
      </c>
      <c r="F647" s="2" t="s">
        <v>192</v>
      </c>
      <c r="G647" s="2" t="s">
        <v>207</v>
      </c>
      <c r="H647" s="2">
        <v>1</v>
      </c>
      <c r="I647" s="5">
        <v>1800</v>
      </c>
      <c r="J647" s="10">
        <v>0.15</v>
      </c>
      <c r="K647" s="7">
        <v>283.11</v>
      </c>
      <c r="L647" t="b">
        <f t="shared" si="10"/>
        <v>0</v>
      </c>
    </row>
    <row r="648" spans="1:12">
      <c r="A648" s="2">
        <v>100646</v>
      </c>
      <c r="B648" s="14">
        <v>45830</v>
      </c>
      <c r="C648" s="2" t="s">
        <v>121</v>
      </c>
      <c r="D648" s="2" t="s">
        <v>170</v>
      </c>
      <c r="E648" s="2" t="s">
        <v>188</v>
      </c>
      <c r="F648" s="2" t="s">
        <v>191</v>
      </c>
      <c r="G648" s="2" t="s">
        <v>197</v>
      </c>
      <c r="H648" s="2">
        <v>2</v>
      </c>
      <c r="I648" s="5">
        <v>116000</v>
      </c>
      <c r="J648" s="10">
        <v>0.05</v>
      </c>
      <c r="K648" s="7">
        <v>21832.67</v>
      </c>
      <c r="L648" t="b">
        <f t="shared" si="10"/>
        <v>0</v>
      </c>
    </row>
    <row r="649" spans="1:12">
      <c r="A649" s="2">
        <v>100647</v>
      </c>
      <c r="B649" s="14">
        <v>45862</v>
      </c>
      <c r="C649" s="2" t="s">
        <v>68</v>
      </c>
      <c r="D649" s="2" t="s">
        <v>175</v>
      </c>
      <c r="E649" s="2" t="s">
        <v>186</v>
      </c>
      <c r="F649" s="2" t="s">
        <v>191</v>
      </c>
      <c r="G649" s="2" t="s">
        <v>197</v>
      </c>
      <c r="H649" s="2">
        <v>4</v>
      </c>
      <c r="I649" s="5">
        <v>232000</v>
      </c>
      <c r="J649" s="10">
        <v>0.1</v>
      </c>
      <c r="K649" s="7">
        <v>36092.49</v>
      </c>
      <c r="L649" t="b">
        <f t="shared" si="10"/>
        <v>0</v>
      </c>
    </row>
    <row r="650" spans="1:12">
      <c r="A650" s="2">
        <v>100648</v>
      </c>
      <c r="B650" s="14">
        <v>45917</v>
      </c>
      <c r="C650" s="2" t="s">
        <v>36</v>
      </c>
      <c r="D650" s="2" t="s">
        <v>168</v>
      </c>
      <c r="E650" s="2" t="s">
        <v>183</v>
      </c>
      <c r="F650" s="2" t="s">
        <v>192</v>
      </c>
      <c r="G650" s="2" t="s">
        <v>205</v>
      </c>
      <c r="H650" s="2">
        <v>4</v>
      </c>
      <c r="I650" s="5">
        <v>18000</v>
      </c>
      <c r="J650" s="10">
        <v>0.05</v>
      </c>
      <c r="K650" s="7">
        <v>2704.12</v>
      </c>
      <c r="L650" t="b">
        <f t="shared" si="10"/>
        <v>0</v>
      </c>
    </row>
    <row r="651" spans="1:12">
      <c r="A651" s="2">
        <v>100649</v>
      </c>
      <c r="B651" s="14">
        <v>45945</v>
      </c>
      <c r="C651" s="2" t="s">
        <v>99</v>
      </c>
      <c r="D651" s="2" t="s">
        <v>178</v>
      </c>
      <c r="E651" s="2" t="s">
        <v>182</v>
      </c>
      <c r="F651" s="2" t="s">
        <v>191</v>
      </c>
      <c r="G651" s="2" t="s">
        <v>202</v>
      </c>
      <c r="H651" s="2">
        <v>4</v>
      </c>
      <c r="I651" s="5">
        <v>152000</v>
      </c>
      <c r="J651" s="10">
        <v>0.05</v>
      </c>
      <c r="K651" s="7">
        <v>34227.760000000002</v>
      </c>
      <c r="L651" t="b">
        <f t="shared" si="10"/>
        <v>0</v>
      </c>
    </row>
    <row r="652" spans="1:12">
      <c r="A652" s="2">
        <v>100650</v>
      </c>
      <c r="B652" s="14">
        <v>45718</v>
      </c>
      <c r="C652" s="2" t="s">
        <v>130</v>
      </c>
      <c r="D652" s="2" t="s">
        <v>164</v>
      </c>
      <c r="E652" s="2" t="s">
        <v>187</v>
      </c>
      <c r="F652" s="2" t="s">
        <v>189</v>
      </c>
      <c r="G652" s="2" t="s">
        <v>206</v>
      </c>
      <c r="H652" s="2">
        <v>1</v>
      </c>
      <c r="I652" s="5">
        <v>50000</v>
      </c>
      <c r="J652" s="10">
        <v>0.2</v>
      </c>
      <c r="K652" s="7">
        <v>7995.33</v>
      </c>
      <c r="L652" t="b">
        <f t="shared" si="10"/>
        <v>0</v>
      </c>
    </row>
    <row r="653" spans="1:12">
      <c r="A653" s="2">
        <v>100651</v>
      </c>
      <c r="B653" s="14">
        <v>46005</v>
      </c>
      <c r="C653" s="2" t="s">
        <v>73</v>
      </c>
      <c r="D653" s="2" t="s">
        <v>166</v>
      </c>
      <c r="E653" s="2" t="s">
        <v>184</v>
      </c>
      <c r="F653" s="2" t="s">
        <v>191</v>
      </c>
      <c r="G653" s="2" t="s">
        <v>202</v>
      </c>
      <c r="H653" s="2">
        <v>3</v>
      </c>
      <c r="I653" s="5">
        <v>114000</v>
      </c>
      <c r="J653" s="10">
        <v>0.2</v>
      </c>
      <c r="K653" s="7">
        <v>19911.099999999999</v>
      </c>
      <c r="L653" t="b">
        <f t="shared" si="10"/>
        <v>0</v>
      </c>
    </row>
    <row r="654" spans="1:12">
      <c r="A654" s="2">
        <v>100652</v>
      </c>
      <c r="B654" s="14">
        <v>45781</v>
      </c>
      <c r="C654" s="2" t="s">
        <v>113</v>
      </c>
      <c r="D654" s="2" t="s">
        <v>164</v>
      </c>
      <c r="E654" s="2" t="s">
        <v>185</v>
      </c>
      <c r="F654" s="2" t="s">
        <v>192</v>
      </c>
      <c r="G654" s="2" t="s">
        <v>208</v>
      </c>
      <c r="H654" s="2">
        <v>1</v>
      </c>
      <c r="I654" s="5">
        <v>3200</v>
      </c>
      <c r="J654" s="10">
        <v>0.2</v>
      </c>
      <c r="K654" s="7">
        <v>415.63</v>
      </c>
      <c r="L654" t="b">
        <f t="shared" si="10"/>
        <v>0</v>
      </c>
    </row>
    <row r="655" spans="1:12">
      <c r="A655" s="2">
        <v>100653</v>
      </c>
      <c r="B655" s="14">
        <v>45729</v>
      </c>
      <c r="C655" s="2" t="s">
        <v>90</v>
      </c>
      <c r="D655" s="2" t="s">
        <v>172</v>
      </c>
      <c r="E655" s="2" t="s">
        <v>184</v>
      </c>
      <c r="F655" s="2" t="s">
        <v>190</v>
      </c>
      <c r="G655" s="2" t="s">
        <v>199</v>
      </c>
      <c r="H655" s="2">
        <v>3</v>
      </c>
      <c r="I655" s="5">
        <v>5400</v>
      </c>
      <c r="J655" s="10">
        <v>0.15</v>
      </c>
      <c r="K655" s="7">
        <v>576.14</v>
      </c>
      <c r="L655" t="b">
        <f t="shared" si="10"/>
        <v>0</v>
      </c>
    </row>
    <row r="656" spans="1:12">
      <c r="A656" s="2">
        <v>100654</v>
      </c>
      <c r="B656" s="14">
        <v>45871</v>
      </c>
      <c r="C656" s="2" t="s">
        <v>58</v>
      </c>
      <c r="D656" s="2" t="s">
        <v>178</v>
      </c>
      <c r="E656" s="2" t="s">
        <v>185</v>
      </c>
      <c r="F656" s="2" t="s">
        <v>192</v>
      </c>
      <c r="G656" s="2" t="s">
        <v>207</v>
      </c>
      <c r="H656" s="2">
        <v>1</v>
      </c>
      <c r="I656" s="5">
        <v>1800</v>
      </c>
      <c r="J656" s="10">
        <v>0.05</v>
      </c>
      <c r="K656" s="7">
        <v>391.32</v>
      </c>
      <c r="L656" t="b">
        <f t="shared" si="10"/>
        <v>0</v>
      </c>
    </row>
    <row r="657" spans="1:12">
      <c r="A657" s="2">
        <v>100655</v>
      </c>
      <c r="B657" s="14">
        <v>45722</v>
      </c>
      <c r="C657" s="2" t="s">
        <v>94</v>
      </c>
      <c r="D657" s="2" t="s">
        <v>175</v>
      </c>
      <c r="E657" s="2" t="s">
        <v>181</v>
      </c>
      <c r="F657" s="2" t="s">
        <v>189</v>
      </c>
      <c r="G657" s="2" t="s">
        <v>198</v>
      </c>
      <c r="H657" s="2">
        <v>1</v>
      </c>
      <c r="I657" s="5">
        <v>45000</v>
      </c>
      <c r="J657" s="10">
        <v>0.05</v>
      </c>
      <c r="K657" s="7">
        <v>7690.17</v>
      </c>
      <c r="L657" t="b">
        <f t="shared" si="10"/>
        <v>0</v>
      </c>
    </row>
    <row r="658" spans="1:12">
      <c r="A658" s="2">
        <v>100656</v>
      </c>
      <c r="B658" s="14">
        <v>45847</v>
      </c>
      <c r="C658" s="2" t="s">
        <v>98</v>
      </c>
      <c r="D658" s="2" t="s">
        <v>174</v>
      </c>
      <c r="E658" s="2" t="s">
        <v>184</v>
      </c>
      <c r="F658" s="2" t="s">
        <v>192</v>
      </c>
      <c r="G658" s="2" t="s">
        <v>205</v>
      </c>
      <c r="H658" s="2">
        <v>1</v>
      </c>
      <c r="I658" s="5">
        <v>4500</v>
      </c>
      <c r="J658" s="10">
        <v>0.05</v>
      </c>
      <c r="K658" s="7">
        <v>1009.99</v>
      </c>
      <c r="L658" t="b">
        <f t="shared" si="10"/>
        <v>0</v>
      </c>
    </row>
    <row r="659" spans="1:12">
      <c r="A659" s="2">
        <v>100657</v>
      </c>
      <c r="B659" s="14">
        <v>45967</v>
      </c>
      <c r="C659" s="2" t="s">
        <v>62</v>
      </c>
      <c r="D659" s="2" t="s">
        <v>177</v>
      </c>
      <c r="E659" s="2" t="s">
        <v>182</v>
      </c>
      <c r="F659" s="2" t="s">
        <v>190</v>
      </c>
      <c r="G659" s="2" t="s">
        <v>204</v>
      </c>
      <c r="H659" s="2">
        <v>4</v>
      </c>
      <c r="I659" s="5">
        <v>2000</v>
      </c>
      <c r="J659" s="10">
        <v>0.15</v>
      </c>
      <c r="K659" s="7">
        <v>270.02999999999997</v>
      </c>
      <c r="L659" t="b">
        <f t="shared" si="10"/>
        <v>0</v>
      </c>
    </row>
    <row r="660" spans="1:12">
      <c r="A660" s="2">
        <v>100658</v>
      </c>
      <c r="B660" s="14">
        <v>45775</v>
      </c>
      <c r="C660" s="2" t="s">
        <v>124</v>
      </c>
      <c r="D660" s="2" t="s">
        <v>165</v>
      </c>
      <c r="E660" s="2" t="s">
        <v>185</v>
      </c>
      <c r="F660" s="2" t="s">
        <v>190</v>
      </c>
      <c r="G660" s="2" t="s">
        <v>201</v>
      </c>
      <c r="H660" s="2">
        <v>1</v>
      </c>
      <c r="I660" s="5">
        <v>1500</v>
      </c>
      <c r="J660" s="10">
        <v>0.15</v>
      </c>
      <c r="K660" s="7">
        <v>206.49</v>
      </c>
      <c r="L660" t="b">
        <f t="shared" si="10"/>
        <v>0</v>
      </c>
    </row>
    <row r="661" spans="1:12">
      <c r="A661" s="2">
        <v>100659</v>
      </c>
      <c r="B661" s="14">
        <v>45916</v>
      </c>
      <c r="C661" s="2" t="s">
        <v>70</v>
      </c>
      <c r="D661" s="2" t="s">
        <v>166</v>
      </c>
      <c r="E661" s="2" t="s">
        <v>188</v>
      </c>
      <c r="F661" s="2" t="s">
        <v>192</v>
      </c>
      <c r="G661" s="2" t="s">
        <v>208</v>
      </c>
      <c r="H661" s="2">
        <v>2</v>
      </c>
      <c r="I661" s="5">
        <v>6400</v>
      </c>
      <c r="J661" s="10">
        <v>0.1</v>
      </c>
      <c r="K661" s="7">
        <v>760.16</v>
      </c>
      <c r="L661" t="b">
        <f t="shared" si="10"/>
        <v>0</v>
      </c>
    </row>
    <row r="662" spans="1:12">
      <c r="A662" s="2">
        <v>100660</v>
      </c>
      <c r="B662" s="14">
        <v>45699</v>
      </c>
      <c r="C662" s="2" t="s">
        <v>161</v>
      </c>
      <c r="D662" s="2" t="s">
        <v>171</v>
      </c>
      <c r="E662" s="2" t="s">
        <v>182</v>
      </c>
      <c r="F662" s="2" t="s">
        <v>192</v>
      </c>
      <c r="G662" s="2" t="s">
        <v>207</v>
      </c>
      <c r="H662" s="2">
        <v>1</v>
      </c>
      <c r="I662" s="5">
        <v>1800</v>
      </c>
      <c r="J662" s="10">
        <v>0.15</v>
      </c>
      <c r="K662" s="7">
        <v>347.42</v>
      </c>
      <c r="L662" t="b">
        <f t="shared" si="10"/>
        <v>0</v>
      </c>
    </row>
    <row r="663" spans="1:12">
      <c r="A663" s="2">
        <v>100661</v>
      </c>
      <c r="B663" s="14">
        <v>45925</v>
      </c>
      <c r="C663" s="2" t="s">
        <v>112</v>
      </c>
      <c r="D663" s="2" t="s">
        <v>177</v>
      </c>
      <c r="E663" s="2" t="s">
        <v>188</v>
      </c>
      <c r="F663" s="2" t="s">
        <v>189</v>
      </c>
      <c r="G663" s="2" t="s">
        <v>206</v>
      </c>
      <c r="H663" s="2">
        <v>1</v>
      </c>
      <c r="I663" s="5">
        <v>50000</v>
      </c>
      <c r="J663" s="10">
        <v>0.1</v>
      </c>
      <c r="K663" s="7">
        <v>10151.709999999999</v>
      </c>
      <c r="L663" t="b">
        <f t="shared" si="10"/>
        <v>0</v>
      </c>
    </row>
    <row r="664" spans="1:12">
      <c r="A664" s="2">
        <v>100662</v>
      </c>
      <c r="B664" s="14">
        <v>45711</v>
      </c>
      <c r="C664" s="2" t="s">
        <v>17</v>
      </c>
      <c r="D664" s="2" t="s">
        <v>169</v>
      </c>
      <c r="E664" s="2" t="s">
        <v>184</v>
      </c>
      <c r="F664" s="2" t="s">
        <v>190</v>
      </c>
      <c r="G664" s="2" t="s">
        <v>199</v>
      </c>
      <c r="H664" s="2">
        <v>2</v>
      </c>
      <c r="I664" s="5">
        <v>3600</v>
      </c>
      <c r="J664" s="10">
        <v>0.05</v>
      </c>
      <c r="K664" s="7">
        <v>850.04</v>
      </c>
      <c r="L664" t="b">
        <f t="shared" si="10"/>
        <v>0</v>
      </c>
    </row>
    <row r="665" spans="1:12">
      <c r="A665" s="2">
        <v>100663</v>
      </c>
      <c r="B665" s="14">
        <v>45893</v>
      </c>
      <c r="C665" s="2" t="s">
        <v>36</v>
      </c>
      <c r="D665" s="2" t="s">
        <v>168</v>
      </c>
      <c r="E665" s="2" t="s">
        <v>188</v>
      </c>
      <c r="F665" s="2" t="s">
        <v>190</v>
      </c>
      <c r="G665" s="2" t="s">
        <v>201</v>
      </c>
      <c r="H665" s="2">
        <v>4</v>
      </c>
      <c r="I665" s="5">
        <v>6000</v>
      </c>
      <c r="J665" s="10">
        <v>0.15</v>
      </c>
      <c r="K665" s="7">
        <v>930.27</v>
      </c>
      <c r="L665" t="b">
        <f t="shared" si="10"/>
        <v>0</v>
      </c>
    </row>
    <row r="666" spans="1:12">
      <c r="A666" s="2">
        <v>100664</v>
      </c>
      <c r="B666" s="14">
        <v>45938</v>
      </c>
      <c r="C666" s="2" t="s">
        <v>117</v>
      </c>
      <c r="D666" s="2" t="s">
        <v>174</v>
      </c>
      <c r="E666" s="2" t="s">
        <v>185</v>
      </c>
      <c r="F666" s="2" t="s">
        <v>192</v>
      </c>
      <c r="G666" s="2" t="s">
        <v>208</v>
      </c>
      <c r="H666" s="2">
        <v>4</v>
      </c>
      <c r="I666" s="5">
        <v>12800</v>
      </c>
      <c r="J666" s="10">
        <v>0.15</v>
      </c>
      <c r="K666" s="7">
        <v>2479.16</v>
      </c>
      <c r="L666" t="b">
        <f t="shared" si="10"/>
        <v>0</v>
      </c>
    </row>
    <row r="667" spans="1:12">
      <c r="A667" s="2">
        <v>100665</v>
      </c>
      <c r="B667" s="14">
        <v>45878</v>
      </c>
      <c r="C667" s="2" t="s">
        <v>66</v>
      </c>
      <c r="D667" s="2" t="s">
        <v>177</v>
      </c>
      <c r="E667" s="2" t="s">
        <v>182</v>
      </c>
      <c r="F667" s="2" t="s">
        <v>191</v>
      </c>
      <c r="G667" s="2" t="s">
        <v>209</v>
      </c>
      <c r="H667" s="2">
        <v>3</v>
      </c>
      <c r="I667" s="5">
        <v>78000</v>
      </c>
      <c r="J667" s="10">
        <v>0.05</v>
      </c>
      <c r="K667" s="7">
        <v>9736.33</v>
      </c>
      <c r="L667" t="b">
        <f t="shared" si="10"/>
        <v>0</v>
      </c>
    </row>
    <row r="668" spans="1:12">
      <c r="A668" s="2">
        <v>100666</v>
      </c>
      <c r="B668" s="14">
        <v>45911</v>
      </c>
      <c r="C668" s="2" t="s">
        <v>145</v>
      </c>
      <c r="D668" s="2" t="s">
        <v>178</v>
      </c>
      <c r="E668" s="2" t="s">
        <v>187</v>
      </c>
      <c r="F668" s="2" t="s">
        <v>192</v>
      </c>
      <c r="G668" s="2" t="s">
        <v>208</v>
      </c>
      <c r="H668" s="2">
        <v>4</v>
      </c>
      <c r="I668" s="5">
        <v>12800</v>
      </c>
      <c r="J668" s="10">
        <v>0.1</v>
      </c>
      <c r="K668" s="7">
        <v>2077.0100000000002</v>
      </c>
      <c r="L668" t="b">
        <f t="shared" si="10"/>
        <v>0</v>
      </c>
    </row>
    <row r="669" spans="1:12">
      <c r="A669" s="2">
        <v>100667</v>
      </c>
      <c r="B669" s="14">
        <v>45769</v>
      </c>
      <c r="C669" s="2" t="s">
        <v>109</v>
      </c>
      <c r="D669" s="2" t="s">
        <v>170</v>
      </c>
      <c r="E669" s="2" t="s">
        <v>183</v>
      </c>
      <c r="F669" s="2" t="s">
        <v>190</v>
      </c>
      <c r="G669" s="2" t="s">
        <v>199</v>
      </c>
      <c r="H669" s="2">
        <v>1</v>
      </c>
      <c r="I669" s="5">
        <v>1800</v>
      </c>
      <c r="J669" s="10">
        <v>0.15</v>
      </c>
      <c r="K669" s="7">
        <v>246.91</v>
      </c>
      <c r="L669" t="b">
        <f t="shared" si="10"/>
        <v>0</v>
      </c>
    </row>
    <row r="670" spans="1:12">
      <c r="A670" s="2">
        <v>100668</v>
      </c>
      <c r="B670" s="14">
        <v>46000</v>
      </c>
      <c r="C670" s="2" t="s">
        <v>157</v>
      </c>
      <c r="D670" s="2" t="s">
        <v>170</v>
      </c>
      <c r="E670" s="2" t="s">
        <v>185</v>
      </c>
      <c r="F670" s="2" t="s">
        <v>191</v>
      </c>
      <c r="G670" s="2" t="s">
        <v>200</v>
      </c>
      <c r="H670" s="2">
        <v>4</v>
      </c>
      <c r="I670" s="5">
        <v>112000</v>
      </c>
      <c r="J670" s="10">
        <v>0.1</v>
      </c>
      <c r="K670" s="7">
        <v>19857.52</v>
      </c>
      <c r="L670" t="b">
        <f t="shared" si="10"/>
        <v>0</v>
      </c>
    </row>
    <row r="671" spans="1:12">
      <c r="A671" s="2">
        <v>100669</v>
      </c>
      <c r="B671" s="14">
        <v>45960</v>
      </c>
      <c r="C671" s="2" t="s">
        <v>99</v>
      </c>
      <c r="D671" s="2" t="s">
        <v>178</v>
      </c>
      <c r="E671" s="2" t="s">
        <v>185</v>
      </c>
      <c r="F671" s="2" t="s">
        <v>192</v>
      </c>
      <c r="G671" s="2" t="s">
        <v>208</v>
      </c>
      <c r="H671" s="2">
        <v>1</v>
      </c>
      <c r="I671" s="5">
        <v>3200</v>
      </c>
      <c r="J671" s="10">
        <v>0.15</v>
      </c>
      <c r="K671" s="7">
        <v>587.54</v>
      </c>
      <c r="L671" t="b">
        <f t="shared" si="10"/>
        <v>0</v>
      </c>
    </row>
    <row r="672" spans="1:12">
      <c r="A672" s="2">
        <v>100670</v>
      </c>
      <c r="B672" s="14">
        <v>45864</v>
      </c>
      <c r="C672" s="2" t="s">
        <v>73</v>
      </c>
      <c r="D672" s="2" t="s">
        <v>166</v>
      </c>
      <c r="E672" s="2" t="s">
        <v>187</v>
      </c>
      <c r="F672" s="2" t="s">
        <v>189</v>
      </c>
      <c r="G672" s="2" t="s">
        <v>196</v>
      </c>
      <c r="H672" s="2">
        <v>4</v>
      </c>
      <c r="I672" s="5">
        <v>220000</v>
      </c>
      <c r="J672" s="10">
        <v>0.2</v>
      </c>
      <c r="K672" s="7">
        <v>34222.07</v>
      </c>
      <c r="L672" t="b">
        <f t="shared" si="10"/>
        <v>0</v>
      </c>
    </row>
    <row r="673" spans="1:12">
      <c r="A673" s="2">
        <v>100671</v>
      </c>
      <c r="B673" s="14">
        <v>45886</v>
      </c>
      <c r="C673" s="2" t="s">
        <v>57</v>
      </c>
      <c r="D673" s="2" t="s">
        <v>173</v>
      </c>
      <c r="E673" s="2" t="s">
        <v>182</v>
      </c>
      <c r="F673" s="2" t="s">
        <v>192</v>
      </c>
      <c r="G673" s="2" t="s">
        <v>203</v>
      </c>
      <c r="H673" s="2">
        <v>3</v>
      </c>
      <c r="I673" s="5">
        <v>6000</v>
      </c>
      <c r="J673" s="10">
        <v>0.2</v>
      </c>
      <c r="K673" s="7">
        <v>841.79</v>
      </c>
      <c r="L673" t="b">
        <f t="shared" si="10"/>
        <v>0</v>
      </c>
    </row>
    <row r="674" spans="1:12">
      <c r="A674" s="2">
        <v>100672</v>
      </c>
      <c r="B674" s="14">
        <v>45850</v>
      </c>
      <c r="C674" s="2" t="s">
        <v>119</v>
      </c>
      <c r="D674" s="2" t="s">
        <v>173</v>
      </c>
      <c r="E674" s="2" t="s">
        <v>182</v>
      </c>
      <c r="F674" s="2" t="s">
        <v>190</v>
      </c>
      <c r="G674" s="2" t="s">
        <v>199</v>
      </c>
      <c r="H674" s="2">
        <v>3</v>
      </c>
      <c r="I674" s="5">
        <v>5400</v>
      </c>
      <c r="J674" s="10">
        <v>0.05</v>
      </c>
      <c r="K674" s="7">
        <v>1136.01</v>
      </c>
      <c r="L674" t="b">
        <f t="shared" si="10"/>
        <v>0</v>
      </c>
    </row>
    <row r="675" spans="1:12">
      <c r="A675" s="2">
        <v>100673</v>
      </c>
      <c r="B675" s="14">
        <v>45841</v>
      </c>
      <c r="C675" s="2" t="s">
        <v>162</v>
      </c>
      <c r="D675" s="2" t="s">
        <v>166</v>
      </c>
      <c r="E675" s="2" t="s">
        <v>186</v>
      </c>
      <c r="F675" s="2" t="s">
        <v>189</v>
      </c>
      <c r="G675" s="2" t="s">
        <v>198</v>
      </c>
      <c r="H675" s="2">
        <v>1</v>
      </c>
      <c r="I675" s="5">
        <v>45000</v>
      </c>
      <c r="J675" s="10">
        <v>0.1</v>
      </c>
      <c r="K675" s="7">
        <v>6479.14</v>
      </c>
      <c r="L675" t="b">
        <f t="shared" si="10"/>
        <v>0</v>
      </c>
    </row>
    <row r="676" spans="1:12">
      <c r="A676" s="2">
        <v>100674</v>
      </c>
      <c r="B676" s="14">
        <v>45732</v>
      </c>
      <c r="C676" s="2" t="s">
        <v>141</v>
      </c>
      <c r="D676" s="2" t="s">
        <v>178</v>
      </c>
      <c r="E676" s="2" t="s">
        <v>184</v>
      </c>
      <c r="F676" s="2" t="s">
        <v>190</v>
      </c>
      <c r="G676" s="2" t="s">
        <v>201</v>
      </c>
      <c r="H676" s="2">
        <v>1</v>
      </c>
      <c r="I676" s="5">
        <v>1500</v>
      </c>
      <c r="J676" s="10">
        <v>0.1</v>
      </c>
      <c r="K676" s="7">
        <v>202.81</v>
      </c>
      <c r="L676" t="b">
        <f t="shared" si="10"/>
        <v>0</v>
      </c>
    </row>
    <row r="677" spans="1:12">
      <c r="A677" s="2">
        <v>100675</v>
      </c>
      <c r="B677" s="14">
        <v>45760</v>
      </c>
      <c r="C677" s="2" t="s">
        <v>152</v>
      </c>
      <c r="D677" s="2" t="s">
        <v>177</v>
      </c>
      <c r="E677" s="2" t="s">
        <v>188</v>
      </c>
      <c r="F677" s="2" t="s">
        <v>192</v>
      </c>
      <c r="G677" s="2" t="s">
        <v>207</v>
      </c>
      <c r="H677" s="2">
        <v>4</v>
      </c>
      <c r="I677" s="5">
        <v>7200</v>
      </c>
      <c r="J677" s="10">
        <v>0.1</v>
      </c>
      <c r="K677" s="7">
        <v>1218.6500000000001</v>
      </c>
      <c r="L677" t="b">
        <f t="shared" si="10"/>
        <v>0</v>
      </c>
    </row>
    <row r="678" spans="1:12">
      <c r="A678" s="2">
        <v>100676</v>
      </c>
      <c r="B678" s="14">
        <v>45968</v>
      </c>
      <c r="C678" s="2" t="s">
        <v>129</v>
      </c>
      <c r="D678" s="2" t="s">
        <v>169</v>
      </c>
      <c r="E678" s="2" t="s">
        <v>184</v>
      </c>
      <c r="F678" s="2" t="s">
        <v>190</v>
      </c>
      <c r="G678" s="2" t="s">
        <v>199</v>
      </c>
      <c r="H678" s="2">
        <v>3</v>
      </c>
      <c r="I678" s="5">
        <v>5400</v>
      </c>
      <c r="J678" s="10">
        <v>0.15</v>
      </c>
      <c r="K678" s="7">
        <v>716.59</v>
      </c>
      <c r="L678" t="b">
        <f t="shared" si="10"/>
        <v>0</v>
      </c>
    </row>
    <row r="679" spans="1:12">
      <c r="A679" s="2">
        <v>100677</v>
      </c>
      <c r="B679" s="14">
        <v>45909</v>
      </c>
      <c r="C679" s="2" t="s">
        <v>11</v>
      </c>
      <c r="D679" s="2" t="s">
        <v>164</v>
      </c>
      <c r="E679" s="2" t="s">
        <v>187</v>
      </c>
      <c r="F679" s="2" t="s">
        <v>189</v>
      </c>
      <c r="G679" s="2" t="s">
        <v>198</v>
      </c>
      <c r="H679" s="2">
        <v>4</v>
      </c>
      <c r="I679" s="5">
        <v>180000</v>
      </c>
      <c r="J679" s="10">
        <v>0.15</v>
      </c>
      <c r="K679" s="7">
        <v>34916.78</v>
      </c>
      <c r="L679" t="b">
        <f t="shared" si="10"/>
        <v>0</v>
      </c>
    </row>
    <row r="680" spans="1:12">
      <c r="A680" s="2">
        <v>100678</v>
      </c>
      <c r="B680" s="14">
        <v>45883</v>
      </c>
      <c r="C680" s="2" t="s">
        <v>105</v>
      </c>
      <c r="D680" s="2" t="s">
        <v>165</v>
      </c>
      <c r="E680" s="2" t="s">
        <v>184</v>
      </c>
      <c r="F680" s="2" t="s">
        <v>190</v>
      </c>
      <c r="G680" s="2" t="s">
        <v>204</v>
      </c>
      <c r="H680" s="2">
        <v>3</v>
      </c>
      <c r="I680" s="5">
        <v>1500</v>
      </c>
      <c r="J680" s="10">
        <v>0.15</v>
      </c>
      <c r="K680" s="7">
        <v>164.05</v>
      </c>
      <c r="L680" t="b">
        <f t="shared" si="10"/>
        <v>0</v>
      </c>
    </row>
    <row r="681" spans="1:12">
      <c r="A681" s="2">
        <v>100679</v>
      </c>
      <c r="B681" s="14">
        <v>45951</v>
      </c>
      <c r="C681" s="2" t="s">
        <v>125</v>
      </c>
      <c r="D681" s="2" t="s">
        <v>176</v>
      </c>
      <c r="E681" s="2" t="s">
        <v>187</v>
      </c>
      <c r="F681" s="2" t="s">
        <v>190</v>
      </c>
      <c r="G681" s="2" t="s">
        <v>199</v>
      </c>
      <c r="H681" s="2">
        <v>2</v>
      </c>
      <c r="I681" s="5">
        <v>3600</v>
      </c>
      <c r="J681" s="10">
        <v>0.15</v>
      </c>
      <c r="K681" s="7">
        <v>738.17</v>
      </c>
      <c r="L681" t="b">
        <f t="shared" si="10"/>
        <v>0</v>
      </c>
    </row>
    <row r="682" spans="1:12">
      <c r="A682" s="2">
        <v>100680</v>
      </c>
      <c r="B682" s="14">
        <v>45699</v>
      </c>
      <c r="C682" s="2" t="s">
        <v>90</v>
      </c>
      <c r="D682" s="2" t="s">
        <v>172</v>
      </c>
      <c r="E682" s="2" t="s">
        <v>182</v>
      </c>
      <c r="F682" s="2" t="s">
        <v>191</v>
      </c>
      <c r="G682" s="2" t="s">
        <v>202</v>
      </c>
      <c r="H682" s="2">
        <v>3</v>
      </c>
      <c r="I682" s="5">
        <v>114000</v>
      </c>
      <c r="J682" s="10">
        <v>0.2</v>
      </c>
      <c r="K682" s="7">
        <v>15676.52</v>
      </c>
      <c r="L682" t="b">
        <f t="shared" si="10"/>
        <v>0</v>
      </c>
    </row>
    <row r="683" spans="1:12">
      <c r="A683" s="2">
        <v>100681</v>
      </c>
      <c r="B683" s="14">
        <v>45873</v>
      </c>
      <c r="C683" s="2" t="s">
        <v>83</v>
      </c>
      <c r="D683" s="2" t="s">
        <v>177</v>
      </c>
      <c r="E683" s="2" t="s">
        <v>188</v>
      </c>
      <c r="F683" s="2" t="s">
        <v>192</v>
      </c>
      <c r="G683" s="2" t="s">
        <v>205</v>
      </c>
      <c r="H683" s="2">
        <v>1</v>
      </c>
      <c r="I683" s="5">
        <v>4500</v>
      </c>
      <c r="J683" s="10">
        <v>0.1</v>
      </c>
      <c r="K683" s="7">
        <v>567.04</v>
      </c>
      <c r="L683" t="b">
        <f t="shared" si="10"/>
        <v>0</v>
      </c>
    </row>
    <row r="684" spans="1:12">
      <c r="A684" s="2">
        <v>100682</v>
      </c>
      <c r="B684" s="14">
        <v>45759</v>
      </c>
      <c r="C684" s="2" t="s">
        <v>46</v>
      </c>
      <c r="D684" s="2" t="s">
        <v>169</v>
      </c>
      <c r="E684" s="2" t="s">
        <v>184</v>
      </c>
      <c r="F684" s="2" t="s">
        <v>190</v>
      </c>
      <c r="G684" s="2" t="s">
        <v>204</v>
      </c>
      <c r="H684" s="2">
        <v>4</v>
      </c>
      <c r="I684" s="5">
        <v>2000</v>
      </c>
      <c r="J684" s="10">
        <v>0.15</v>
      </c>
      <c r="K684" s="7">
        <v>233.99</v>
      </c>
      <c r="L684" t="b">
        <f t="shared" si="10"/>
        <v>0</v>
      </c>
    </row>
    <row r="685" spans="1:12">
      <c r="A685" s="2">
        <v>100683</v>
      </c>
      <c r="B685" s="14">
        <v>45943</v>
      </c>
      <c r="C685" s="2" t="s">
        <v>158</v>
      </c>
      <c r="D685" s="2" t="s">
        <v>167</v>
      </c>
      <c r="E685" s="2" t="s">
        <v>185</v>
      </c>
      <c r="F685" s="2" t="s">
        <v>190</v>
      </c>
      <c r="G685" s="2" t="s">
        <v>204</v>
      </c>
      <c r="H685" s="2">
        <v>3</v>
      </c>
      <c r="I685" s="5">
        <v>1500</v>
      </c>
      <c r="J685" s="10">
        <v>0.15</v>
      </c>
      <c r="K685" s="7">
        <v>303.45999999999998</v>
      </c>
      <c r="L685" t="b">
        <f t="shared" si="10"/>
        <v>0</v>
      </c>
    </row>
    <row r="686" spans="1:12">
      <c r="A686" s="2">
        <v>100684</v>
      </c>
      <c r="B686" s="14">
        <v>45669</v>
      </c>
      <c r="C686" s="2" t="s">
        <v>55</v>
      </c>
      <c r="D686" s="2" t="s">
        <v>172</v>
      </c>
      <c r="E686" s="2" t="s">
        <v>181</v>
      </c>
      <c r="F686" s="2" t="s">
        <v>192</v>
      </c>
      <c r="G686" s="2" t="s">
        <v>203</v>
      </c>
      <c r="H686" s="2">
        <v>4</v>
      </c>
      <c r="I686" s="5">
        <v>8000</v>
      </c>
      <c r="J686" s="10">
        <v>0.1</v>
      </c>
      <c r="K686" s="7">
        <v>1585.14</v>
      </c>
      <c r="L686" t="b">
        <f t="shared" si="10"/>
        <v>0</v>
      </c>
    </row>
    <row r="687" spans="1:12">
      <c r="A687" s="2">
        <v>100685</v>
      </c>
      <c r="B687" s="14">
        <v>46004</v>
      </c>
      <c r="C687" s="2" t="s">
        <v>111</v>
      </c>
      <c r="D687" s="2" t="s">
        <v>175</v>
      </c>
      <c r="E687" s="2" t="s">
        <v>186</v>
      </c>
      <c r="F687" s="2" t="s">
        <v>192</v>
      </c>
      <c r="G687" s="2" t="s">
        <v>208</v>
      </c>
      <c r="H687" s="2">
        <v>3</v>
      </c>
      <c r="I687" s="5">
        <v>9600</v>
      </c>
      <c r="J687" s="10">
        <v>0.05</v>
      </c>
      <c r="K687" s="7">
        <v>1722.43</v>
      </c>
      <c r="L687" t="b">
        <f t="shared" si="10"/>
        <v>0</v>
      </c>
    </row>
    <row r="688" spans="1:12">
      <c r="A688" s="2">
        <v>100686</v>
      </c>
      <c r="B688" s="14">
        <v>45758</v>
      </c>
      <c r="C688" s="2" t="s">
        <v>13</v>
      </c>
      <c r="D688" s="2" t="s">
        <v>166</v>
      </c>
      <c r="E688" s="2" t="s">
        <v>183</v>
      </c>
      <c r="F688" s="2" t="s">
        <v>189</v>
      </c>
      <c r="G688" s="2" t="s">
        <v>206</v>
      </c>
      <c r="H688" s="2">
        <v>1</v>
      </c>
      <c r="I688" s="5">
        <v>50000</v>
      </c>
      <c r="J688" s="10">
        <v>0.05</v>
      </c>
      <c r="K688" s="7">
        <v>10845.04</v>
      </c>
      <c r="L688" t="b">
        <f t="shared" si="10"/>
        <v>0</v>
      </c>
    </row>
    <row r="689" spans="1:12">
      <c r="A689" s="2">
        <v>100687</v>
      </c>
      <c r="B689" s="14">
        <v>45817</v>
      </c>
      <c r="C689" s="2" t="s">
        <v>88</v>
      </c>
      <c r="D689" s="2" t="s">
        <v>164</v>
      </c>
      <c r="E689" s="2" t="s">
        <v>185</v>
      </c>
      <c r="F689" s="2" t="s">
        <v>191</v>
      </c>
      <c r="G689" s="2" t="s">
        <v>200</v>
      </c>
      <c r="H689" s="2">
        <v>4</v>
      </c>
      <c r="I689" s="5">
        <v>112000</v>
      </c>
      <c r="J689" s="10">
        <v>0.1</v>
      </c>
      <c r="K689" s="7">
        <v>20326.88</v>
      </c>
      <c r="L689" t="b">
        <f t="shared" si="10"/>
        <v>0</v>
      </c>
    </row>
    <row r="690" spans="1:12">
      <c r="A690" s="2">
        <v>100688</v>
      </c>
      <c r="B690" s="14">
        <v>45823</v>
      </c>
      <c r="C690" s="2" t="s">
        <v>32</v>
      </c>
      <c r="D690" s="2" t="s">
        <v>165</v>
      </c>
      <c r="E690" s="2" t="s">
        <v>182</v>
      </c>
      <c r="F690" s="2" t="s">
        <v>192</v>
      </c>
      <c r="G690" s="2" t="s">
        <v>203</v>
      </c>
      <c r="H690" s="2">
        <v>3</v>
      </c>
      <c r="I690" s="5">
        <v>6000</v>
      </c>
      <c r="J690" s="10">
        <v>0.1</v>
      </c>
      <c r="K690" s="7">
        <v>863.68</v>
      </c>
      <c r="L690" t="b">
        <f t="shared" si="10"/>
        <v>0</v>
      </c>
    </row>
    <row r="691" spans="1:12">
      <c r="A691" s="2">
        <v>100689</v>
      </c>
      <c r="B691" s="14">
        <v>45669</v>
      </c>
      <c r="C691" s="2" t="s">
        <v>93</v>
      </c>
      <c r="D691" s="2" t="s">
        <v>177</v>
      </c>
      <c r="E691" s="2" t="s">
        <v>183</v>
      </c>
      <c r="F691" s="2" t="s">
        <v>192</v>
      </c>
      <c r="G691" s="2" t="s">
        <v>205</v>
      </c>
      <c r="H691" s="2">
        <v>1</v>
      </c>
      <c r="I691" s="5">
        <v>4500</v>
      </c>
      <c r="J691" s="10">
        <v>0.15</v>
      </c>
      <c r="K691" s="7">
        <v>851.83</v>
      </c>
      <c r="L691" t="b">
        <f t="shared" si="10"/>
        <v>0</v>
      </c>
    </row>
    <row r="692" spans="1:12">
      <c r="A692" s="2">
        <v>100690</v>
      </c>
      <c r="B692" s="14">
        <v>45687</v>
      </c>
      <c r="C692" s="2" t="s">
        <v>122</v>
      </c>
      <c r="D692" s="2" t="s">
        <v>175</v>
      </c>
      <c r="E692" s="2" t="s">
        <v>181</v>
      </c>
      <c r="F692" s="2" t="s">
        <v>191</v>
      </c>
      <c r="G692" s="2" t="s">
        <v>209</v>
      </c>
      <c r="H692" s="2">
        <v>3</v>
      </c>
      <c r="I692" s="5">
        <v>78000</v>
      </c>
      <c r="J692" s="10">
        <v>0.15</v>
      </c>
      <c r="K692" s="7">
        <v>10934.94</v>
      </c>
      <c r="L692" t="b">
        <f t="shared" si="10"/>
        <v>0</v>
      </c>
    </row>
    <row r="693" spans="1:12">
      <c r="A693" s="2">
        <v>100691</v>
      </c>
      <c r="B693" s="14">
        <v>45756</v>
      </c>
      <c r="C693" s="2" t="s">
        <v>114</v>
      </c>
      <c r="D693" s="2" t="s">
        <v>169</v>
      </c>
      <c r="E693" s="2" t="s">
        <v>181</v>
      </c>
      <c r="F693" s="2" t="s">
        <v>189</v>
      </c>
      <c r="G693" s="2" t="s">
        <v>193</v>
      </c>
      <c r="H693" s="2">
        <v>3</v>
      </c>
      <c r="I693" s="5">
        <v>255000</v>
      </c>
      <c r="J693" s="10">
        <v>0.05</v>
      </c>
      <c r="K693" s="7">
        <v>45003.05</v>
      </c>
      <c r="L693" t="b">
        <f t="shared" si="10"/>
        <v>0</v>
      </c>
    </row>
    <row r="694" spans="1:12">
      <c r="A694" s="2">
        <v>100692</v>
      </c>
      <c r="B694" s="14">
        <v>45763</v>
      </c>
      <c r="C694" s="2" t="s">
        <v>84</v>
      </c>
      <c r="D694" s="2" t="s">
        <v>165</v>
      </c>
      <c r="E694" s="2" t="s">
        <v>188</v>
      </c>
      <c r="F694" s="2" t="s">
        <v>191</v>
      </c>
      <c r="G694" s="2" t="s">
        <v>202</v>
      </c>
      <c r="H694" s="2">
        <v>2</v>
      </c>
      <c r="I694" s="5">
        <v>76000</v>
      </c>
      <c r="J694" s="10">
        <v>0.2</v>
      </c>
      <c r="K694" s="7">
        <v>15182.21</v>
      </c>
      <c r="L694" t="b">
        <f t="shared" si="10"/>
        <v>0</v>
      </c>
    </row>
    <row r="695" spans="1:12">
      <c r="A695" s="2">
        <v>100693</v>
      </c>
      <c r="B695" s="14">
        <v>45708</v>
      </c>
      <c r="C695" s="2" t="s">
        <v>107</v>
      </c>
      <c r="D695" s="2" t="s">
        <v>171</v>
      </c>
      <c r="E695" s="2" t="s">
        <v>183</v>
      </c>
      <c r="F695" s="2" t="s">
        <v>192</v>
      </c>
      <c r="G695" s="2" t="s">
        <v>205</v>
      </c>
      <c r="H695" s="2">
        <v>2</v>
      </c>
      <c r="I695" s="5">
        <v>9000</v>
      </c>
      <c r="J695" s="10">
        <v>0.2</v>
      </c>
      <c r="K695" s="7">
        <v>1239.06</v>
      </c>
      <c r="L695" t="b">
        <f t="shared" si="10"/>
        <v>0</v>
      </c>
    </row>
    <row r="696" spans="1:12">
      <c r="A696" s="2">
        <v>100694</v>
      </c>
      <c r="B696" s="14">
        <v>45738</v>
      </c>
      <c r="C696" s="2" t="s">
        <v>108</v>
      </c>
      <c r="D696" s="2" t="s">
        <v>164</v>
      </c>
      <c r="E696" s="2" t="s">
        <v>188</v>
      </c>
      <c r="F696" s="2" t="s">
        <v>190</v>
      </c>
      <c r="G696" s="2" t="s">
        <v>199</v>
      </c>
      <c r="H696" s="2">
        <v>4</v>
      </c>
      <c r="I696" s="5">
        <v>7200</v>
      </c>
      <c r="J696" s="10">
        <v>0.05</v>
      </c>
      <c r="K696" s="7">
        <v>1189.6600000000001</v>
      </c>
      <c r="L696" t="b">
        <f t="shared" si="10"/>
        <v>0</v>
      </c>
    </row>
    <row r="697" spans="1:12">
      <c r="A697" s="2">
        <v>100695</v>
      </c>
      <c r="B697" s="14">
        <v>45790</v>
      </c>
      <c r="C697" s="2" t="s">
        <v>36</v>
      </c>
      <c r="D697" s="2" t="s">
        <v>168</v>
      </c>
      <c r="E697" s="2" t="s">
        <v>185</v>
      </c>
      <c r="F697" s="2" t="s">
        <v>191</v>
      </c>
      <c r="G697" s="2" t="s">
        <v>202</v>
      </c>
      <c r="H697" s="2">
        <v>3</v>
      </c>
      <c r="I697" s="5">
        <v>114000</v>
      </c>
      <c r="J697" s="10">
        <v>0.05</v>
      </c>
      <c r="K697" s="7">
        <v>19219.39</v>
      </c>
      <c r="L697" t="b">
        <f t="shared" si="10"/>
        <v>0</v>
      </c>
    </row>
    <row r="698" spans="1:12">
      <c r="A698" s="2">
        <v>100696</v>
      </c>
      <c r="B698" s="14">
        <v>46001</v>
      </c>
      <c r="C698" s="2" t="s">
        <v>16</v>
      </c>
      <c r="D698" s="2" t="s">
        <v>168</v>
      </c>
      <c r="E698" s="2" t="s">
        <v>187</v>
      </c>
      <c r="F698" s="2" t="s">
        <v>192</v>
      </c>
      <c r="G698" s="2" t="s">
        <v>205</v>
      </c>
      <c r="H698" s="2">
        <v>2</v>
      </c>
      <c r="I698" s="5">
        <v>9000</v>
      </c>
      <c r="J698" s="10">
        <v>0.2</v>
      </c>
      <c r="K698" s="7">
        <v>1625.65</v>
      </c>
      <c r="L698" t="b">
        <f t="shared" si="10"/>
        <v>0</v>
      </c>
    </row>
    <row r="699" spans="1:12">
      <c r="A699" s="2">
        <v>100697</v>
      </c>
      <c r="B699" s="14">
        <v>45795</v>
      </c>
      <c r="C699" s="2" t="s">
        <v>47</v>
      </c>
      <c r="D699" s="2" t="s">
        <v>174</v>
      </c>
      <c r="E699" s="2" t="s">
        <v>187</v>
      </c>
      <c r="F699" s="2" t="s">
        <v>191</v>
      </c>
      <c r="G699" s="2" t="s">
        <v>202</v>
      </c>
      <c r="H699" s="2">
        <v>2</v>
      </c>
      <c r="I699" s="5">
        <v>76000</v>
      </c>
      <c r="J699" s="10">
        <v>0.05</v>
      </c>
      <c r="K699" s="7">
        <v>17623.560000000001</v>
      </c>
      <c r="L699" t="b">
        <f t="shared" si="10"/>
        <v>0</v>
      </c>
    </row>
    <row r="700" spans="1:12">
      <c r="A700" s="2">
        <v>100698</v>
      </c>
      <c r="B700" s="14">
        <v>45723</v>
      </c>
      <c r="C700" s="2" t="s">
        <v>78</v>
      </c>
      <c r="D700" s="2" t="s">
        <v>173</v>
      </c>
      <c r="E700" s="2" t="s">
        <v>187</v>
      </c>
      <c r="F700" s="2" t="s">
        <v>189</v>
      </c>
      <c r="G700" s="2" t="s">
        <v>194</v>
      </c>
      <c r="H700" s="2">
        <v>2</v>
      </c>
      <c r="I700" s="5">
        <v>124000</v>
      </c>
      <c r="J700" s="10">
        <v>0.05</v>
      </c>
      <c r="K700" s="7">
        <v>23352.07</v>
      </c>
      <c r="L700" t="b">
        <f t="shared" si="10"/>
        <v>0</v>
      </c>
    </row>
    <row r="701" spans="1:12">
      <c r="A701" s="2">
        <v>100699</v>
      </c>
      <c r="B701" s="14">
        <v>45987</v>
      </c>
      <c r="C701" s="2" t="s">
        <v>31</v>
      </c>
      <c r="D701" s="2" t="s">
        <v>168</v>
      </c>
      <c r="E701" s="2" t="s">
        <v>183</v>
      </c>
      <c r="F701" s="2" t="s">
        <v>189</v>
      </c>
      <c r="G701" s="2" t="s">
        <v>194</v>
      </c>
      <c r="H701" s="2">
        <v>2</v>
      </c>
      <c r="I701" s="5">
        <v>124000</v>
      </c>
      <c r="J701" s="10">
        <v>0.15</v>
      </c>
      <c r="K701" s="7">
        <v>17280.43</v>
      </c>
      <c r="L701" t="b">
        <f t="shared" si="10"/>
        <v>0</v>
      </c>
    </row>
    <row r="702" spans="1:12">
      <c r="A702" s="2">
        <v>100700</v>
      </c>
      <c r="B702" s="14">
        <v>45930</v>
      </c>
      <c r="C702" s="2" t="s">
        <v>105</v>
      </c>
      <c r="D702" s="2" t="s">
        <v>165</v>
      </c>
      <c r="E702" s="2" t="s">
        <v>187</v>
      </c>
      <c r="F702" s="2" t="s">
        <v>189</v>
      </c>
      <c r="G702" s="2" t="s">
        <v>198</v>
      </c>
      <c r="H702" s="2">
        <v>1</v>
      </c>
      <c r="I702" s="5">
        <v>45000</v>
      </c>
      <c r="J702" s="10">
        <v>0.2</v>
      </c>
      <c r="K702" s="7">
        <v>5081.25</v>
      </c>
      <c r="L702" t="b">
        <f t="shared" si="10"/>
        <v>0</v>
      </c>
    </row>
    <row r="703" spans="1:12">
      <c r="A703" s="2">
        <v>100701</v>
      </c>
      <c r="B703" s="14">
        <v>45820</v>
      </c>
      <c r="C703" s="2" t="s">
        <v>30</v>
      </c>
      <c r="D703" s="2" t="s">
        <v>165</v>
      </c>
      <c r="E703" s="2" t="s">
        <v>185</v>
      </c>
      <c r="F703" s="2" t="s">
        <v>189</v>
      </c>
      <c r="G703" s="2" t="s">
        <v>198</v>
      </c>
      <c r="H703" s="2">
        <v>3</v>
      </c>
      <c r="I703" s="5">
        <v>135000</v>
      </c>
      <c r="J703" s="10">
        <v>0.1</v>
      </c>
      <c r="K703" s="7">
        <v>15505.04</v>
      </c>
      <c r="L703" t="b">
        <f t="shared" si="10"/>
        <v>0</v>
      </c>
    </row>
    <row r="704" spans="1:12">
      <c r="A704" s="2">
        <v>100702</v>
      </c>
      <c r="B704" s="14">
        <v>45933</v>
      </c>
      <c r="C704" s="2" t="s">
        <v>114</v>
      </c>
      <c r="D704" s="2" t="s">
        <v>169</v>
      </c>
      <c r="E704" s="2" t="s">
        <v>188</v>
      </c>
      <c r="F704" s="2" t="s">
        <v>189</v>
      </c>
      <c r="G704" s="2" t="s">
        <v>194</v>
      </c>
      <c r="H704" s="2">
        <v>1</v>
      </c>
      <c r="I704" s="5">
        <v>62000</v>
      </c>
      <c r="J704" s="10">
        <v>0.05</v>
      </c>
      <c r="K704" s="7">
        <v>11485.95</v>
      </c>
      <c r="L704" t="b">
        <f t="shared" si="10"/>
        <v>0</v>
      </c>
    </row>
    <row r="705" spans="1:12">
      <c r="A705" s="2">
        <v>100703</v>
      </c>
      <c r="B705" s="14">
        <v>45718</v>
      </c>
      <c r="C705" s="2" t="s">
        <v>72</v>
      </c>
      <c r="D705" s="2" t="s">
        <v>172</v>
      </c>
      <c r="E705" s="2" t="s">
        <v>183</v>
      </c>
      <c r="F705" s="2" t="s">
        <v>189</v>
      </c>
      <c r="G705" s="2" t="s">
        <v>196</v>
      </c>
      <c r="H705" s="2">
        <v>4</v>
      </c>
      <c r="I705" s="5">
        <v>220000</v>
      </c>
      <c r="J705" s="10">
        <v>0.1</v>
      </c>
      <c r="K705" s="7">
        <v>37401.440000000002</v>
      </c>
      <c r="L705" t="b">
        <f t="shared" si="10"/>
        <v>0</v>
      </c>
    </row>
    <row r="706" spans="1:12">
      <c r="A706" s="2">
        <v>100704</v>
      </c>
      <c r="B706" s="14">
        <v>45919</v>
      </c>
      <c r="C706" s="2" t="s">
        <v>61</v>
      </c>
      <c r="D706" s="2" t="s">
        <v>178</v>
      </c>
      <c r="E706" s="2" t="s">
        <v>188</v>
      </c>
      <c r="F706" s="2" t="s">
        <v>190</v>
      </c>
      <c r="G706" s="2" t="s">
        <v>195</v>
      </c>
      <c r="H706" s="2">
        <v>4</v>
      </c>
      <c r="I706" s="5">
        <v>3200</v>
      </c>
      <c r="J706" s="10">
        <v>0.1</v>
      </c>
      <c r="K706" s="7">
        <v>401.15</v>
      </c>
      <c r="L706" t="b">
        <f t="shared" si="10"/>
        <v>0</v>
      </c>
    </row>
    <row r="707" spans="1:12">
      <c r="A707" s="2">
        <v>100705</v>
      </c>
      <c r="B707" s="14">
        <v>45710</v>
      </c>
      <c r="C707" s="2" t="s">
        <v>120</v>
      </c>
      <c r="D707" s="2" t="s">
        <v>175</v>
      </c>
      <c r="E707" s="2" t="s">
        <v>183</v>
      </c>
      <c r="F707" s="2" t="s">
        <v>192</v>
      </c>
      <c r="G707" s="2" t="s">
        <v>207</v>
      </c>
      <c r="H707" s="2">
        <v>1</v>
      </c>
      <c r="I707" s="5">
        <v>1800</v>
      </c>
      <c r="J707" s="10">
        <v>0.2</v>
      </c>
      <c r="K707" s="7">
        <v>277.32</v>
      </c>
      <c r="L707" t="b">
        <f t="shared" ref="L707:L770" si="11">COUNTIF(A:A, A707) &gt; 1</f>
        <v>0</v>
      </c>
    </row>
    <row r="708" spans="1:12">
      <c r="A708" s="2">
        <v>100706</v>
      </c>
      <c r="B708" s="14">
        <v>45862</v>
      </c>
      <c r="C708" s="2" t="s">
        <v>127</v>
      </c>
      <c r="D708" s="2" t="s">
        <v>170</v>
      </c>
      <c r="E708" s="2" t="s">
        <v>188</v>
      </c>
      <c r="F708" s="2" t="s">
        <v>190</v>
      </c>
      <c r="G708" s="2" t="s">
        <v>195</v>
      </c>
      <c r="H708" s="2">
        <v>3</v>
      </c>
      <c r="I708" s="5">
        <v>2400</v>
      </c>
      <c r="J708" s="10">
        <v>0.2</v>
      </c>
      <c r="K708" s="7">
        <v>383.75</v>
      </c>
      <c r="L708" t="b">
        <f t="shared" si="11"/>
        <v>0</v>
      </c>
    </row>
    <row r="709" spans="1:12">
      <c r="A709" s="2">
        <v>100707</v>
      </c>
      <c r="B709" s="14">
        <v>45813</v>
      </c>
      <c r="C709" s="2" t="s">
        <v>77</v>
      </c>
      <c r="D709" s="2" t="s">
        <v>165</v>
      </c>
      <c r="E709" s="2" t="s">
        <v>181</v>
      </c>
      <c r="F709" s="2" t="s">
        <v>190</v>
      </c>
      <c r="G709" s="2" t="s">
        <v>204</v>
      </c>
      <c r="H709" s="2">
        <v>2</v>
      </c>
      <c r="I709" s="5">
        <v>1000</v>
      </c>
      <c r="J709" s="10">
        <v>0.1</v>
      </c>
      <c r="K709" s="7">
        <v>162.97999999999999</v>
      </c>
      <c r="L709" t="b">
        <f t="shared" si="11"/>
        <v>0</v>
      </c>
    </row>
    <row r="710" spans="1:12">
      <c r="A710" s="2">
        <v>100708</v>
      </c>
      <c r="B710" s="14">
        <v>45892</v>
      </c>
      <c r="C710" s="2" t="s">
        <v>139</v>
      </c>
      <c r="D710" s="2" t="s">
        <v>173</v>
      </c>
      <c r="E710" s="2" t="s">
        <v>188</v>
      </c>
      <c r="F710" s="2" t="s">
        <v>189</v>
      </c>
      <c r="G710" s="2" t="s">
        <v>198</v>
      </c>
      <c r="H710" s="2">
        <v>2</v>
      </c>
      <c r="I710" s="5">
        <v>90000</v>
      </c>
      <c r="J710" s="10">
        <v>0.1</v>
      </c>
      <c r="K710" s="7">
        <v>13037.06</v>
      </c>
      <c r="L710" t="b">
        <f t="shared" si="11"/>
        <v>0</v>
      </c>
    </row>
    <row r="711" spans="1:12">
      <c r="A711" s="2">
        <v>100709</v>
      </c>
      <c r="B711" s="14">
        <v>45993</v>
      </c>
      <c r="C711" s="2" t="s">
        <v>154</v>
      </c>
      <c r="D711" s="2" t="s">
        <v>173</v>
      </c>
      <c r="E711" s="2" t="s">
        <v>187</v>
      </c>
      <c r="F711" s="2" t="s">
        <v>191</v>
      </c>
      <c r="G711" s="2" t="s">
        <v>209</v>
      </c>
      <c r="H711" s="2">
        <v>4</v>
      </c>
      <c r="I711" s="5">
        <v>104000</v>
      </c>
      <c r="J711" s="10">
        <v>0.1</v>
      </c>
      <c r="K711" s="7">
        <v>15609.97</v>
      </c>
      <c r="L711" t="b">
        <f t="shared" si="11"/>
        <v>0</v>
      </c>
    </row>
    <row r="712" spans="1:12">
      <c r="A712" s="2">
        <v>100710</v>
      </c>
      <c r="B712" s="14">
        <v>45897</v>
      </c>
      <c r="C712" s="2" t="s">
        <v>162</v>
      </c>
      <c r="D712" s="2" t="s">
        <v>166</v>
      </c>
      <c r="E712" s="2" t="s">
        <v>181</v>
      </c>
      <c r="F712" s="2" t="s">
        <v>191</v>
      </c>
      <c r="G712" s="2" t="s">
        <v>200</v>
      </c>
      <c r="H712" s="2">
        <v>3</v>
      </c>
      <c r="I712" s="5">
        <v>84000</v>
      </c>
      <c r="J712" s="10">
        <v>0.15</v>
      </c>
      <c r="K712" s="7">
        <v>14865.76</v>
      </c>
      <c r="L712" t="b">
        <f t="shared" si="11"/>
        <v>0</v>
      </c>
    </row>
    <row r="713" spans="1:12">
      <c r="A713" s="2">
        <v>100711</v>
      </c>
      <c r="B713" s="14">
        <v>45768</v>
      </c>
      <c r="C713" s="2" t="s">
        <v>110</v>
      </c>
      <c r="D713" s="2" t="s">
        <v>169</v>
      </c>
      <c r="E713" s="2" t="s">
        <v>188</v>
      </c>
      <c r="F713" s="2" t="s">
        <v>190</v>
      </c>
      <c r="G713" s="2" t="s">
        <v>199</v>
      </c>
      <c r="H713" s="2">
        <v>2</v>
      </c>
      <c r="I713" s="5">
        <v>3600</v>
      </c>
      <c r="J713" s="10">
        <v>0.15</v>
      </c>
      <c r="K713" s="7">
        <v>496.76</v>
      </c>
      <c r="L713" t="b">
        <f t="shared" si="11"/>
        <v>0</v>
      </c>
    </row>
    <row r="714" spans="1:12">
      <c r="A714" s="2">
        <v>100712</v>
      </c>
      <c r="B714" s="14">
        <v>45817</v>
      </c>
      <c r="C714" s="2" t="s">
        <v>143</v>
      </c>
      <c r="D714" s="2" t="s">
        <v>174</v>
      </c>
      <c r="E714" s="2" t="s">
        <v>183</v>
      </c>
      <c r="F714" s="2" t="s">
        <v>191</v>
      </c>
      <c r="G714" s="2" t="s">
        <v>197</v>
      </c>
      <c r="H714" s="2">
        <v>4</v>
      </c>
      <c r="I714" s="5">
        <v>232000</v>
      </c>
      <c r="J714" s="10">
        <v>0.2</v>
      </c>
      <c r="K714" s="7">
        <v>41615.040000000001</v>
      </c>
      <c r="L714" t="b">
        <f t="shared" si="11"/>
        <v>0</v>
      </c>
    </row>
    <row r="715" spans="1:12">
      <c r="A715" s="2">
        <v>100713</v>
      </c>
      <c r="B715" s="14">
        <v>45808</v>
      </c>
      <c r="C715" s="2" t="s">
        <v>24</v>
      </c>
      <c r="D715" s="2" t="s">
        <v>166</v>
      </c>
      <c r="E715" s="2" t="s">
        <v>183</v>
      </c>
      <c r="F715" s="2" t="s">
        <v>190</v>
      </c>
      <c r="G715" s="2" t="s">
        <v>201</v>
      </c>
      <c r="H715" s="2">
        <v>2</v>
      </c>
      <c r="I715" s="5">
        <v>3000</v>
      </c>
      <c r="J715" s="10">
        <v>0.15</v>
      </c>
      <c r="K715" s="7">
        <v>636.04999999999995</v>
      </c>
      <c r="L715" t="b">
        <f t="shared" si="11"/>
        <v>0</v>
      </c>
    </row>
    <row r="716" spans="1:12">
      <c r="A716" s="2">
        <v>100714</v>
      </c>
      <c r="B716" s="14">
        <v>45695</v>
      </c>
      <c r="C716" s="2" t="s">
        <v>41</v>
      </c>
      <c r="D716" s="2" t="s">
        <v>172</v>
      </c>
      <c r="E716" s="2" t="s">
        <v>186</v>
      </c>
      <c r="F716" s="2" t="s">
        <v>191</v>
      </c>
      <c r="G716" s="2" t="s">
        <v>200</v>
      </c>
      <c r="H716" s="2">
        <v>2</v>
      </c>
      <c r="I716" s="5">
        <v>56000</v>
      </c>
      <c r="J716" s="10">
        <v>0.05</v>
      </c>
      <c r="K716" s="7">
        <v>7415.46</v>
      </c>
      <c r="L716" t="b">
        <f t="shared" si="11"/>
        <v>0</v>
      </c>
    </row>
    <row r="717" spans="1:12">
      <c r="A717" s="2">
        <v>100715</v>
      </c>
      <c r="B717" s="14">
        <v>45700</v>
      </c>
      <c r="C717" s="2" t="s">
        <v>153</v>
      </c>
      <c r="D717" s="2" t="s">
        <v>177</v>
      </c>
      <c r="E717" s="2" t="s">
        <v>183</v>
      </c>
      <c r="F717" s="2" t="s">
        <v>192</v>
      </c>
      <c r="G717" s="2" t="s">
        <v>205</v>
      </c>
      <c r="H717" s="2">
        <v>2</v>
      </c>
      <c r="I717" s="5">
        <v>9000</v>
      </c>
      <c r="J717" s="10">
        <v>0.15</v>
      </c>
      <c r="K717" s="7">
        <v>1257.97</v>
      </c>
      <c r="L717" t="b">
        <f t="shared" si="11"/>
        <v>0</v>
      </c>
    </row>
    <row r="718" spans="1:12">
      <c r="A718" s="2">
        <v>100716</v>
      </c>
      <c r="B718" s="14">
        <v>45781</v>
      </c>
      <c r="C718" s="2" t="s">
        <v>91</v>
      </c>
      <c r="D718" s="2" t="s">
        <v>175</v>
      </c>
      <c r="E718" s="2" t="s">
        <v>182</v>
      </c>
      <c r="F718" s="2" t="s">
        <v>191</v>
      </c>
      <c r="G718" s="2" t="s">
        <v>200</v>
      </c>
      <c r="H718" s="2">
        <v>4</v>
      </c>
      <c r="I718" s="5">
        <v>112000</v>
      </c>
      <c r="J718" s="10">
        <v>0.15</v>
      </c>
      <c r="K718" s="7">
        <v>14229.52</v>
      </c>
      <c r="L718" t="b">
        <f t="shared" si="11"/>
        <v>0</v>
      </c>
    </row>
    <row r="719" spans="1:12">
      <c r="A719" s="2">
        <v>100717</v>
      </c>
      <c r="B719" s="14">
        <v>45870</v>
      </c>
      <c r="C719" s="2" t="s">
        <v>74</v>
      </c>
      <c r="D719" s="2" t="s">
        <v>174</v>
      </c>
      <c r="E719" s="2" t="s">
        <v>185</v>
      </c>
      <c r="F719" s="2" t="s">
        <v>190</v>
      </c>
      <c r="G719" s="2" t="s">
        <v>199</v>
      </c>
      <c r="H719" s="2">
        <v>1</v>
      </c>
      <c r="I719" s="5">
        <v>1800</v>
      </c>
      <c r="J719" s="10">
        <v>0.15</v>
      </c>
      <c r="K719" s="7">
        <v>305</v>
      </c>
      <c r="L719" t="b">
        <f t="shared" si="11"/>
        <v>0</v>
      </c>
    </row>
    <row r="720" spans="1:12">
      <c r="A720" s="2">
        <v>100718</v>
      </c>
      <c r="B720" s="14">
        <v>46017</v>
      </c>
      <c r="C720" s="2" t="s">
        <v>114</v>
      </c>
      <c r="D720" s="2" t="s">
        <v>169</v>
      </c>
      <c r="E720" s="2" t="s">
        <v>183</v>
      </c>
      <c r="F720" s="2" t="s">
        <v>190</v>
      </c>
      <c r="G720" s="2" t="s">
        <v>201</v>
      </c>
      <c r="H720" s="2">
        <v>4</v>
      </c>
      <c r="I720" s="5">
        <v>6000</v>
      </c>
      <c r="J720" s="10">
        <v>0.1</v>
      </c>
      <c r="K720" s="7">
        <v>737.22</v>
      </c>
      <c r="L720" t="b">
        <f t="shared" si="11"/>
        <v>0</v>
      </c>
    </row>
    <row r="721" spans="1:12">
      <c r="A721" s="2">
        <v>100719</v>
      </c>
      <c r="B721" s="14">
        <v>45723</v>
      </c>
      <c r="C721" s="2" t="s">
        <v>137</v>
      </c>
      <c r="D721" s="2" t="s">
        <v>177</v>
      </c>
      <c r="E721" s="2" t="s">
        <v>181</v>
      </c>
      <c r="F721" s="2" t="s">
        <v>190</v>
      </c>
      <c r="G721" s="2" t="s">
        <v>195</v>
      </c>
      <c r="H721" s="2">
        <v>2</v>
      </c>
      <c r="I721" s="5">
        <v>1600</v>
      </c>
      <c r="J721" s="10">
        <v>0.2</v>
      </c>
      <c r="K721" s="7">
        <v>278.75</v>
      </c>
      <c r="L721" t="b">
        <f t="shared" si="11"/>
        <v>0</v>
      </c>
    </row>
    <row r="722" spans="1:12">
      <c r="A722" s="2">
        <v>100720</v>
      </c>
      <c r="B722" s="14">
        <v>45879</v>
      </c>
      <c r="C722" s="2" t="s">
        <v>94</v>
      </c>
      <c r="D722" s="2" t="s">
        <v>175</v>
      </c>
      <c r="E722" s="2" t="s">
        <v>186</v>
      </c>
      <c r="F722" s="2" t="s">
        <v>191</v>
      </c>
      <c r="G722" s="2" t="s">
        <v>200</v>
      </c>
      <c r="H722" s="2">
        <v>4</v>
      </c>
      <c r="I722" s="5">
        <v>112000</v>
      </c>
      <c r="J722" s="10">
        <v>0.15</v>
      </c>
      <c r="K722" s="7">
        <v>13860.68</v>
      </c>
      <c r="L722" t="b">
        <f t="shared" si="11"/>
        <v>0</v>
      </c>
    </row>
    <row r="723" spans="1:12">
      <c r="A723" s="2">
        <v>100721</v>
      </c>
      <c r="B723" s="14">
        <v>45912</v>
      </c>
      <c r="C723" s="2" t="s">
        <v>163</v>
      </c>
      <c r="D723" s="2" t="s">
        <v>167</v>
      </c>
      <c r="E723" s="2" t="s">
        <v>181</v>
      </c>
      <c r="F723" s="2" t="s">
        <v>192</v>
      </c>
      <c r="G723" s="2" t="s">
        <v>203</v>
      </c>
      <c r="H723" s="2">
        <v>2</v>
      </c>
      <c r="I723" s="5">
        <v>5040</v>
      </c>
      <c r="J723" s="10">
        <v>0.19</v>
      </c>
      <c r="K723" s="7">
        <v>38.590000000000003</v>
      </c>
      <c r="L723" t="b">
        <f t="shared" si="11"/>
        <v>0</v>
      </c>
    </row>
    <row r="724" spans="1:12">
      <c r="A724" s="2">
        <v>100722</v>
      </c>
      <c r="B724" s="14">
        <v>46009</v>
      </c>
      <c r="C724" s="2" t="s">
        <v>124</v>
      </c>
      <c r="D724" s="2" t="s">
        <v>165</v>
      </c>
      <c r="E724" s="2" t="s">
        <v>182</v>
      </c>
      <c r="F724" s="2" t="s">
        <v>191</v>
      </c>
      <c r="G724" s="2" t="s">
        <v>200</v>
      </c>
      <c r="H724" s="2">
        <v>4</v>
      </c>
      <c r="I724" s="5">
        <v>112000</v>
      </c>
      <c r="J724" s="10">
        <v>0.1</v>
      </c>
      <c r="K724" s="7">
        <v>14954.96</v>
      </c>
      <c r="L724" t="b">
        <f t="shared" si="11"/>
        <v>0</v>
      </c>
    </row>
    <row r="725" spans="1:12">
      <c r="A725" s="2">
        <v>100723</v>
      </c>
      <c r="B725" s="14">
        <v>45852</v>
      </c>
      <c r="C725" s="2" t="s">
        <v>161</v>
      </c>
      <c r="D725" s="2" t="s">
        <v>171</v>
      </c>
      <c r="E725" s="2" t="s">
        <v>187</v>
      </c>
      <c r="F725" s="2" t="s">
        <v>190</v>
      </c>
      <c r="G725" s="2" t="s">
        <v>199</v>
      </c>
      <c r="H725" s="2">
        <v>2</v>
      </c>
      <c r="I725" s="5">
        <v>3600</v>
      </c>
      <c r="J725" s="10">
        <v>0.05</v>
      </c>
      <c r="K725" s="7">
        <v>608.41999999999996</v>
      </c>
      <c r="L725" t="b">
        <f t="shared" si="11"/>
        <v>0</v>
      </c>
    </row>
    <row r="726" spans="1:12">
      <c r="A726" s="2">
        <v>100724</v>
      </c>
      <c r="B726" s="14">
        <v>45753</v>
      </c>
      <c r="C726" s="2" t="s">
        <v>73</v>
      </c>
      <c r="D726" s="2" t="s">
        <v>166</v>
      </c>
      <c r="E726" s="2" t="s">
        <v>181</v>
      </c>
      <c r="F726" s="2" t="s">
        <v>189</v>
      </c>
      <c r="G726" s="2" t="s">
        <v>196</v>
      </c>
      <c r="H726" s="2">
        <v>4</v>
      </c>
      <c r="I726" s="5">
        <v>220000</v>
      </c>
      <c r="J726" s="10">
        <v>0.15</v>
      </c>
      <c r="K726" s="7">
        <v>35594.480000000003</v>
      </c>
      <c r="L726" t="b">
        <f t="shared" si="11"/>
        <v>0</v>
      </c>
    </row>
    <row r="727" spans="1:12">
      <c r="A727" s="2">
        <v>100725</v>
      </c>
      <c r="B727" s="14">
        <v>45720</v>
      </c>
      <c r="C727" s="2" t="s">
        <v>48</v>
      </c>
      <c r="D727" s="2" t="s">
        <v>176</v>
      </c>
      <c r="E727" s="2" t="s">
        <v>182</v>
      </c>
      <c r="F727" s="2" t="s">
        <v>192</v>
      </c>
      <c r="G727" s="2" t="s">
        <v>207</v>
      </c>
      <c r="H727" s="2">
        <v>4</v>
      </c>
      <c r="I727" s="5">
        <v>7200</v>
      </c>
      <c r="J727" s="10">
        <v>0.15</v>
      </c>
      <c r="K727" s="7">
        <v>1232.17</v>
      </c>
      <c r="L727" t="b">
        <f t="shared" si="11"/>
        <v>0</v>
      </c>
    </row>
    <row r="728" spans="1:12">
      <c r="A728" s="2">
        <v>100726</v>
      </c>
      <c r="B728" s="14">
        <v>45906</v>
      </c>
      <c r="C728" s="2" t="s">
        <v>34</v>
      </c>
      <c r="D728" s="2" t="s">
        <v>176</v>
      </c>
      <c r="E728" s="2" t="s">
        <v>187</v>
      </c>
      <c r="F728" s="2" t="s">
        <v>189</v>
      </c>
      <c r="G728" s="2" t="s">
        <v>194</v>
      </c>
      <c r="H728" s="2">
        <v>1</v>
      </c>
      <c r="I728" s="5">
        <v>62000</v>
      </c>
      <c r="J728" s="10">
        <v>0.1</v>
      </c>
      <c r="K728" s="7">
        <v>7128.24</v>
      </c>
      <c r="L728" t="b">
        <f t="shared" si="11"/>
        <v>0</v>
      </c>
    </row>
    <row r="729" spans="1:12">
      <c r="A729" s="2">
        <v>100727</v>
      </c>
      <c r="B729" s="14">
        <v>45691</v>
      </c>
      <c r="C729" s="2" t="s">
        <v>109</v>
      </c>
      <c r="D729" s="2" t="s">
        <v>170</v>
      </c>
      <c r="E729" s="2" t="s">
        <v>184</v>
      </c>
      <c r="F729" s="2" t="s">
        <v>190</v>
      </c>
      <c r="G729" s="2" t="s">
        <v>201</v>
      </c>
      <c r="H729" s="2">
        <v>2</v>
      </c>
      <c r="I729" s="5">
        <v>3000</v>
      </c>
      <c r="J729" s="10">
        <v>0.05</v>
      </c>
      <c r="K729" s="7">
        <v>535.91999999999996</v>
      </c>
      <c r="L729" t="b">
        <f t="shared" si="11"/>
        <v>0</v>
      </c>
    </row>
    <row r="730" spans="1:12">
      <c r="A730" s="2">
        <v>100728</v>
      </c>
      <c r="B730" s="14">
        <v>45693</v>
      </c>
      <c r="C730" s="2" t="s">
        <v>88</v>
      </c>
      <c r="D730" s="2" t="s">
        <v>164</v>
      </c>
      <c r="E730" s="2" t="s">
        <v>184</v>
      </c>
      <c r="F730" s="2" t="s">
        <v>191</v>
      </c>
      <c r="G730" s="2" t="s">
        <v>202</v>
      </c>
      <c r="H730" s="2">
        <v>3</v>
      </c>
      <c r="I730" s="5">
        <v>114000</v>
      </c>
      <c r="J730" s="10">
        <v>0.1</v>
      </c>
      <c r="K730" s="7">
        <v>13380.45</v>
      </c>
      <c r="L730" t="b">
        <f t="shared" si="11"/>
        <v>0</v>
      </c>
    </row>
    <row r="731" spans="1:12">
      <c r="A731" s="2">
        <v>100729</v>
      </c>
      <c r="B731" s="14">
        <v>45708</v>
      </c>
      <c r="C731" s="2" t="s">
        <v>48</v>
      </c>
      <c r="D731" s="2" t="s">
        <v>176</v>
      </c>
      <c r="E731" s="2" t="s">
        <v>181</v>
      </c>
      <c r="F731" s="2" t="s">
        <v>189</v>
      </c>
      <c r="G731" s="2" t="s">
        <v>196</v>
      </c>
      <c r="H731" s="2">
        <v>3</v>
      </c>
      <c r="I731" s="5">
        <v>165000</v>
      </c>
      <c r="J731" s="10">
        <v>0.15</v>
      </c>
      <c r="K731" s="7">
        <v>20193.150000000001</v>
      </c>
      <c r="L731" t="b">
        <f t="shared" si="11"/>
        <v>0</v>
      </c>
    </row>
    <row r="732" spans="1:12">
      <c r="A732" s="2">
        <v>100730</v>
      </c>
      <c r="B732" s="14">
        <v>45757</v>
      </c>
      <c r="C732" s="2" t="s">
        <v>52</v>
      </c>
      <c r="D732" s="2" t="s">
        <v>170</v>
      </c>
      <c r="E732" s="2" t="s">
        <v>188</v>
      </c>
      <c r="F732" s="2" t="s">
        <v>192</v>
      </c>
      <c r="G732" s="2" t="s">
        <v>203</v>
      </c>
      <c r="H732" s="2">
        <v>3</v>
      </c>
      <c r="I732" s="5">
        <v>6000</v>
      </c>
      <c r="J732" s="10">
        <v>0.15</v>
      </c>
      <c r="K732" s="7">
        <v>645.91</v>
      </c>
      <c r="L732" t="b">
        <f t="shared" si="11"/>
        <v>0</v>
      </c>
    </row>
    <row r="733" spans="1:12">
      <c r="A733" s="2">
        <v>100731</v>
      </c>
      <c r="B733" s="14">
        <v>45778</v>
      </c>
      <c r="C733" s="2" t="s">
        <v>128</v>
      </c>
      <c r="D733" s="2" t="s">
        <v>168</v>
      </c>
      <c r="E733" s="2" t="s">
        <v>185</v>
      </c>
      <c r="F733" s="2" t="s">
        <v>190</v>
      </c>
      <c r="G733" s="2" t="s">
        <v>199</v>
      </c>
      <c r="H733" s="2">
        <v>1</v>
      </c>
      <c r="I733" s="5">
        <v>1800</v>
      </c>
      <c r="J733" s="10">
        <v>0.05</v>
      </c>
      <c r="K733" s="7">
        <v>312.64</v>
      </c>
      <c r="L733" t="b">
        <f t="shared" si="11"/>
        <v>0</v>
      </c>
    </row>
    <row r="734" spans="1:12">
      <c r="A734" s="2">
        <v>100732</v>
      </c>
      <c r="B734" s="14">
        <v>45692</v>
      </c>
      <c r="C734" s="2" t="s">
        <v>74</v>
      </c>
      <c r="D734" s="2" t="s">
        <v>174</v>
      </c>
      <c r="E734" s="2" t="s">
        <v>186</v>
      </c>
      <c r="F734" s="2" t="s">
        <v>192</v>
      </c>
      <c r="G734" s="2" t="s">
        <v>207</v>
      </c>
      <c r="H734" s="2">
        <v>3</v>
      </c>
      <c r="I734" s="5">
        <v>5400</v>
      </c>
      <c r="J734" s="10">
        <v>0.1</v>
      </c>
      <c r="K734" s="7">
        <v>675.02</v>
      </c>
      <c r="L734" t="b">
        <f t="shared" si="11"/>
        <v>0</v>
      </c>
    </row>
    <row r="735" spans="1:12">
      <c r="A735" s="2">
        <v>100733</v>
      </c>
      <c r="B735" s="14">
        <v>45827</v>
      </c>
      <c r="C735" s="2" t="s">
        <v>154</v>
      </c>
      <c r="D735" s="2" t="s">
        <v>173</v>
      </c>
      <c r="E735" s="2" t="s">
        <v>185</v>
      </c>
      <c r="F735" s="2" t="s">
        <v>192</v>
      </c>
      <c r="G735" s="2" t="s">
        <v>208</v>
      </c>
      <c r="H735" s="2">
        <v>1</v>
      </c>
      <c r="I735" s="5">
        <v>3200</v>
      </c>
      <c r="J735" s="10">
        <v>0.15</v>
      </c>
      <c r="K735" s="7">
        <v>351.56</v>
      </c>
      <c r="L735" t="b">
        <f t="shared" si="11"/>
        <v>0</v>
      </c>
    </row>
    <row r="736" spans="1:12">
      <c r="A736" s="2">
        <v>100734</v>
      </c>
      <c r="B736" s="14">
        <v>45974</v>
      </c>
      <c r="C736" s="2" t="s">
        <v>147</v>
      </c>
      <c r="D736" s="2" t="s">
        <v>175</v>
      </c>
      <c r="E736" s="2" t="s">
        <v>182</v>
      </c>
      <c r="F736" s="2" t="s">
        <v>190</v>
      </c>
      <c r="G736" s="2" t="s">
        <v>204</v>
      </c>
      <c r="H736" s="2">
        <v>1</v>
      </c>
      <c r="I736" s="5">
        <v>500</v>
      </c>
      <c r="J736" s="10">
        <v>0.15</v>
      </c>
      <c r="K736" s="7">
        <v>99.51</v>
      </c>
      <c r="L736" t="b">
        <f t="shared" si="11"/>
        <v>0</v>
      </c>
    </row>
    <row r="737" spans="1:12">
      <c r="A737" s="2">
        <v>100735</v>
      </c>
      <c r="B737" s="14">
        <v>45679</v>
      </c>
      <c r="C737" s="2" t="s">
        <v>27</v>
      </c>
      <c r="D737" s="2" t="s">
        <v>174</v>
      </c>
      <c r="E737" s="2" t="s">
        <v>187</v>
      </c>
      <c r="F737" s="2" t="s">
        <v>192</v>
      </c>
      <c r="G737" s="2" t="s">
        <v>205</v>
      </c>
      <c r="H737" s="2">
        <v>1</v>
      </c>
      <c r="I737" s="5">
        <v>4500</v>
      </c>
      <c r="J737" s="10">
        <v>0.05</v>
      </c>
      <c r="K737" s="7">
        <v>540.05999999999995</v>
      </c>
      <c r="L737" t="b">
        <f t="shared" si="11"/>
        <v>0</v>
      </c>
    </row>
    <row r="738" spans="1:12">
      <c r="A738" s="2">
        <v>100736</v>
      </c>
      <c r="B738" s="14">
        <v>45983</v>
      </c>
      <c r="C738" s="2" t="s">
        <v>70</v>
      </c>
      <c r="D738" s="2" t="s">
        <v>166</v>
      </c>
      <c r="E738" s="2" t="s">
        <v>185</v>
      </c>
      <c r="F738" s="2" t="s">
        <v>190</v>
      </c>
      <c r="G738" s="2" t="s">
        <v>195</v>
      </c>
      <c r="H738" s="2">
        <v>2</v>
      </c>
      <c r="I738" s="5">
        <v>1600</v>
      </c>
      <c r="J738" s="10">
        <v>0.1</v>
      </c>
      <c r="K738" s="7">
        <v>207.48</v>
      </c>
      <c r="L738" t="b">
        <f t="shared" si="11"/>
        <v>0</v>
      </c>
    </row>
    <row r="739" spans="1:12">
      <c r="A739" s="2">
        <v>100737</v>
      </c>
      <c r="B739" s="14">
        <v>45658</v>
      </c>
      <c r="C739" s="2" t="s">
        <v>35</v>
      </c>
      <c r="D739" s="2" t="s">
        <v>177</v>
      </c>
      <c r="E739" s="2" t="s">
        <v>187</v>
      </c>
      <c r="F739" s="2" t="s">
        <v>192</v>
      </c>
      <c r="G739" s="2" t="s">
        <v>203</v>
      </c>
      <c r="H739" s="2">
        <v>1</v>
      </c>
      <c r="I739" s="5">
        <v>2000</v>
      </c>
      <c r="J739" s="10">
        <v>0.2</v>
      </c>
      <c r="K739" s="7">
        <v>201.48</v>
      </c>
      <c r="L739" t="b">
        <f t="shared" si="11"/>
        <v>0</v>
      </c>
    </row>
    <row r="740" spans="1:12">
      <c r="A740" s="2">
        <v>100738</v>
      </c>
      <c r="B740" s="14">
        <v>45790</v>
      </c>
      <c r="C740" s="2" t="s">
        <v>136</v>
      </c>
      <c r="D740" s="2" t="s">
        <v>165</v>
      </c>
      <c r="E740" s="2" t="s">
        <v>187</v>
      </c>
      <c r="F740" s="2" t="s">
        <v>190</v>
      </c>
      <c r="G740" s="2" t="s">
        <v>204</v>
      </c>
      <c r="H740" s="2">
        <v>2</v>
      </c>
      <c r="I740" s="5">
        <v>1000</v>
      </c>
      <c r="J740" s="10">
        <v>0.2</v>
      </c>
      <c r="K740" s="7">
        <v>126.85</v>
      </c>
      <c r="L740" t="b">
        <f t="shared" si="11"/>
        <v>0</v>
      </c>
    </row>
    <row r="741" spans="1:12">
      <c r="A741" s="2">
        <v>100739</v>
      </c>
      <c r="B741" s="14">
        <v>45890</v>
      </c>
      <c r="C741" s="2" t="s">
        <v>130</v>
      </c>
      <c r="D741" s="2" t="s">
        <v>164</v>
      </c>
      <c r="E741" s="2" t="s">
        <v>182</v>
      </c>
      <c r="F741" s="2" t="s">
        <v>189</v>
      </c>
      <c r="G741" s="2" t="s">
        <v>194</v>
      </c>
      <c r="H741" s="2">
        <v>4</v>
      </c>
      <c r="I741" s="5">
        <v>248000</v>
      </c>
      <c r="J741" s="10">
        <v>0.05</v>
      </c>
      <c r="K741" s="7">
        <v>32160.05</v>
      </c>
      <c r="L741" t="b">
        <f t="shared" si="11"/>
        <v>0</v>
      </c>
    </row>
    <row r="742" spans="1:12">
      <c r="A742" s="2">
        <v>100740</v>
      </c>
      <c r="B742" s="14">
        <v>45992</v>
      </c>
      <c r="C742" s="2" t="s">
        <v>30</v>
      </c>
      <c r="D742" s="2" t="s">
        <v>165</v>
      </c>
      <c r="E742" s="2" t="s">
        <v>182</v>
      </c>
      <c r="F742" s="2" t="s">
        <v>191</v>
      </c>
      <c r="G742" s="2" t="s">
        <v>197</v>
      </c>
      <c r="H742" s="2">
        <v>4</v>
      </c>
      <c r="I742" s="5">
        <v>232000</v>
      </c>
      <c r="J742" s="10">
        <v>0.1</v>
      </c>
      <c r="K742" s="7">
        <v>31729.279999999999</v>
      </c>
      <c r="L742" t="b">
        <f t="shared" si="11"/>
        <v>0</v>
      </c>
    </row>
    <row r="743" spans="1:12">
      <c r="A743" s="2">
        <v>100741</v>
      </c>
      <c r="B743" s="14">
        <v>46003</v>
      </c>
      <c r="C743" s="2" t="s">
        <v>22</v>
      </c>
      <c r="D743" s="2" t="s">
        <v>168</v>
      </c>
      <c r="E743" s="2" t="s">
        <v>182</v>
      </c>
      <c r="F743" s="2" t="s">
        <v>189</v>
      </c>
      <c r="G743" s="2" t="s">
        <v>196</v>
      </c>
      <c r="H743" s="2">
        <v>2</v>
      </c>
      <c r="I743" s="5">
        <v>110000</v>
      </c>
      <c r="J743" s="10">
        <v>0.15</v>
      </c>
      <c r="K743" s="7">
        <v>20078.400000000001</v>
      </c>
      <c r="L743" t="b">
        <f t="shared" si="11"/>
        <v>0</v>
      </c>
    </row>
    <row r="744" spans="1:12">
      <c r="A744" s="2">
        <v>100742</v>
      </c>
      <c r="B744" s="14">
        <v>45703</v>
      </c>
      <c r="C744" s="2" t="s">
        <v>66</v>
      </c>
      <c r="D744" s="2" t="s">
        <v>177</v>
      </c>
      <c r="E744" s="2" t="s">
        <v>185</v>
      </c>
      <c r="F744" s="2" t="s">
        <v>189</v>
      </c>
      <c r="G744" s="2" t="s">
        <v>194</v>
      </c>
      <c r="H744" s="2">
        <v>2</v>
      </c>
      <c r="I744" s="5">
        <v>124000</v>
      </c>
      <c r="J744" s="10">
        <v>0.05</v>
      </c>
      <c r="K744" s="7">
        <v>15531.73</v>
      </c>
      <c r="L744" t="b">
        <f t="shared" si="11"/>
        <v>0</v>
      </c>
    </row>
    <row r="745" spans="1:12">
      <c r="A745" s="2">
        <v>100743</v>
      </c>
      <c r="B745" s="14">
        <v>45718</v>
      </c>
      <c r="C745" s="2" t="s">
        <v>17</v>
      </c>
      <c r="D745" s="2" t="s">
        <v>169</v>
      </c>
      <c r="E745" s="2" t="s">
        <v>184</v>
      </c>
      <c r="F745" s="2" t="s">
        <v>192</v>
      </c>
      <c r="G745" s="2" t="s">
        <v>205</v>
      </c>
      <c r="H745" s="2">
        <v>3</v>
      </c>
      <c r="I745" s="5">
        <v>13500</v>
      </c>
      <c r="J745" s="10">
        <v>0.2</v>
      </c>
      <c r="K745" s="7">
        <v>1534.5</v>
      </c>
      <c r="L745" t="b">
        <f t="shared" si="11"/>
        <v>0</v>
      </c>
    </row>
    <row r="746" spans="1:12">
      <c r="A746" s="2">
        <v>100744</v>
      </c>
      <c r="B746" s="14">
        <v>45735</v>
      </c>
      <c r="C746" s="2" t="s">
        <v>69</v>
      </c>
      <c r="D746" s="2" t="s">
        <v>177</v>
      </c>
      <c r="E746" s="2" t="s">
        <v>182</v>
      </c>
      <c r="F746" s="2" t="s">
        <v>192</v>
      </c>
      <c r="G746" s="2" t="s">
        <v>208</v>
      </c>
      <c r="H746" s="2">
        <v>4</v>
      </c>
      <c r="I746" s="5">
        <v>12800</v>
      </c>
      <c r="J746" s="10">
        <v>0.15</v>
      </c>
      <c r="K746" s="7">
        <v>2388.9899999999998</v>
      </c>
      <c r="L746" t="b">
        <f t="shared" si="11"/>
        <v>0</v>
      </c>
    </row>
    <row r="747" spans="1:12">
      <c r="A747" s="2">
        <v>100745</v>
      </c>
      <c r="B747" s="14">
        <v>45816</v>
      </c>
      <c r="C747" s="2" t="s">
        <v>84</v>
      </c>
      <c r="D747" s="2" t="s">
        <v>165</v>
      </c>
      <c r="E747" s="2" t="s">
        <v>186</v>
      </c>
      <c r="F747" s="2" t="s">
        <v>189</v>
      </c>
      <c r="G747" s="2" t="s">
        <v>198</v>
      </c>
      <c r="H747" s="2">
        <v>4</v>
      </c>
      <c r="I747" s="5">
        <v>180000</v>
      </c>
      <c r="J747" s="10">
        <v>0.05</v>
      </c>
      <c r="K747" s="7">
        <v>21013.919999999998</v>
      </c>
      <c r="L747" t="b">
        <f t="shared" si="11"/>
        <v>0</v>
      </c>
    </row>
    <row r="748" spans="1:12">
      <c r="A748" s="2">
        <v>100746</v>
      </c>
      <c r="B748" s="14">
        <v>45958</v>
      </c>
      <c r="C748" s="2" t="s">
        <v>61</v>
      </c>
      <c r="D748" s="2" t="s">
        <v>178</v>
      </c>
      <c r="E748" s="2" t="s">
        <v>185</v>
      </c>
      <c r="F748" s="2" t="s">
        <v>189</v>
      </c>
      <c r="G748" s="2" t="s">
        <v>194</v>
      </c>
      <c r="H748" s="2">
        <v>4</v>
      </c>
      <c r="I748" s="5">
        <v>248000</v>
      </c>
      <c r="J748" s="10">
        <v>0.15</v>
      </c>
      <c r="K748" s="7">
        <v>51817.67</v>
      </c>
      <c r="L748" t="b">
        <f t="shared" si="11"/>
        <v>0</v>
      </c>
    </row>
    <row r="749" spans="1:12">
      <c r="A749" s="2">
        <v>100747</v>
      </c>
      <c r="B749" s="14">
        <v>45730</v>
      </c>
      <c r="C749" s="2" t="s">
        <v>36</v>
      </c>
      <c r="D749" s="2" t="s">
        <v>168</v>
      </c>
      <c r="E749" s="2" t="s">
        <v>182</v>
      </c>
      <c r="F749" s="2" t="s">
        <v>191</v>
      </c>
      <c r="G749" s="2" t="s">
        <v>209</v>
      </c>
      <c r="H749" s="2">
        <v>4</v>
      </c>
      <c r="I749" s="5">
        <v>104000</v>
      </c>
      <c r="J749" s="10">
        <v>0.2</v>
      </c>
      <c r="K749" s="7">
        <v>11225.17</v>
      </c>
      <c r="L749" t="b">
        <f t="shared" si="11"/>
        <v>0</v>
      </c>
    </row>
    <row r="750" spans="1:12">
      <c r="A750" s="2">
        <v>100748</v>
      </c>
      <c r="B750" s="14">
        <v>45910</v>
      </c>
      <c r="C750" s="2" t="s">
        <v>109</v>
      </c>
      <c r="D750" s="2" t="s">
        <v>170</v>
      </c>
      <c r="E750" s="2" t="s">
        <v>183</v>
      </c>
      <c r="F750" s="2" t="s">
        <v>189</v>
      </c>
      <c r="G750" s="2" t="s">
        <v>193</v>
      </c>
      <c r="H750" s="2">
        <v>1</v>
      </c>
      <c r="I750" s="5">
        <v>85000</v>
      </c>
      <c r="J750" s="10">
        <v>0.05</v>
      </c>
      <c r="K750" s="7">
        <v>10225.11</v>
      </c>
      <c r="L750" t="b">
        <f t="shared" si="11"/>
        <v>0</v>
      </c>
    </row>
    <row r="751" spans="1:12">
      <c r="A751" s="2">
        <v>100749</v>
      </c>
      <c r="B751" s="14">
        <v>45817</v>
      </c>
      <c r="C751" s="2" t="s">
        <v>13</v>
      </c>
      <c r="D751" s="2" t="s">
        <v>166</v>
      </c>
      <c r="E751" s="2" t="s">
        <v>187</v>
      </c>
      <c r="F751" s="2" t="s">
        <v>191</v>
      </c>
      <c r="G751" s="2" t="s">
        <v>202</v>
      </c>
      <c r="H751" s="2">
        <v>2</v>
      </c>
      <c r="I751" s="5">
        <v>76000</v>
      </c>
      <c r="J751" s="10">
        <v>0.1</v>
      </c>
      <c r="K751" s="7">
        <v>13433.8</v>
      </c>
      <c r="L751" t="b">
        <f t="shared" si="11"/>
        <v>0</v>
      </c>
    </row>
    <row r="752" spans="1:12">
      <c r="A752" s="2">
        <v>100750</v>
      </c>
      <c r="B752" s="14">
        <v>45704</v>
      </c>
      <c r="C752" s="2" t="s">
        <v>45</v>
      </c>
      <c r="D752" s="2" t="s">
        <v>165</v>
      </c>
      <c r="E752" s="2" t="s">
        <v>186</v>
      </c>
      <c r="F752" s="2" t="s">
        <v>189</v>
      </c>
      <c r="G752" s="2" t="s">
        <v>194</v>
      </c>
      <c r="H752" s="2">
        <v>3</v>
      </c>
      <c r="I752" s="5">
        <v>186000</v>
      </c>
      <c r="J752" s="10">
        <v>0.15</v>
      </c>
      <c r="K752" s="7">
        <v>35036.89</v>
      </c>
      <c r="L752" t="b">
        <f t="shared" si="11"/>
        <v>0</v>
      </c>
    </row>
    <row r="753" spans="1:12">
      <c r="A753" s="2">
        <v>100751</v>
      </c>
      <c r="B753" s="14">
        <v>45662</v>
      </c>
      <c r="C753" s="2" t="s">
        <v>48</v>
      </c>
      <c r="D753" s="2" t="s">
        <v>176</v>
      </c>
      <c r="E753" s="2" t="s">
        <v>182</v>
      </c>
      <c r="F753" s="2" t="s">
        <v>189</v>
      </c>
      <c r="G753" s="2" t="s">
        <v>194</v>
      </c>
      <c r="H753" s="2">
        <v>3</v>
      </c>
      <c r="I753" s="5">
        <v>186000</v>
      </c>
      <c r="J753" s="10">
        <v>0.05</v>
      </c>
      <c r="K753" s="7">
        <v>36076.76</v>
      </c>
      <c r="L753" t="b">
        <f t="shared" si="11"/>
        <v>0</v>
      </c>
    </row>
    <row r="754" spans="1:12">
      <c r="A754" s="2">
        <v>100752</v>
      </c>
      <c r="B754" s="14">
        <v>45696</v>
      </c>
      <c r="C754" s="2" t="s">
        <v>108</v>
      </c>
      <c r="D754" s="2" t="s">
        <v>164</v>
      </c>
      <c r="E754" s="2" t="s">
        <v>181</v>
      </c>
      <c r="F754" s="2" t="s">
        <v>190</v>
      </c>
      <c r="G754" s="2" t="s">
        <v>195</v>
      </c>
      <c r="H754" s="2">
        <v>3</v>
      </c>
      <c r="I754" s="5">
        <v>2400</v>
      </c>
      <c r="J754" s="10">
        <v>0.05</v>
      </c>
      <c r="K754" s="7">
        <v>477.31</v>
      </c>
      <c r="L754" t="b">
        <f t="shared" si="11"/>
        <v>0</v>
      </c>
    </row>
    <row r="755" spans="1:12">
      <c r="A755" s="2">
        <v>100753</v>
      </c>
      <c r="B755" s="14">
        <v>45896</v>
      </c>
      <c r="C755" s="2" t="s">
        <v>58</v>
      </c>
      <c r="D755" s="2" t="s">
        <v>178</v>
      </c>
      <c r="E755" s="2" t="s">
        <v>187</v>
      </c>
      <c r="F755" s="2" t="s">
        <v>191</v>
      </c>
      <c r="G755" s="2" t="s">
        <v>197</v>
      </c>
      <c r="H755" s="2">
        <v>1</v>
      </c>
      <c r="I755" s="5">
        <v>58000</v>
      </c>
      <c r="J755" s="10">
        <v>0.2</v>
      </c>
      <c r="K755" s="7">
        <v>8522.9</v>
      </c>
      <c r="L755" t="b">
        <f t="shared" si="11"/>
        <v>0</v>
      </c>
    </row>
    <row r="756" spans="1:12">
      <c r="A756" s="2">
        <v>100754</v>
      </c>
      <c r="B756" s="14">
        <v>45713</v>
      </c>
      <c r="C756" s="2" t="s">
        <v>113</v>
      </c>
      <c r="D756" s="2" t="s">
        <v>164</v>
      </c>
      <c r="E756" s="2" t="s">
        <v>187</v>
      </c>
      <c r="F756" s="2" t="s">
        <v>189</v>
      </c>
      <c r="G756" s="2" t="s">
        <v>196</v>
      </c>
      <c r="H756" s="2">
        <v>3</v>
      </c>
      <c r="I756" s="5">
        <v>165000</v>
      </c>
      <c r="J756" s="10">
        <v>0.15</v>
      </c>
      <c r="K756" s="7">
        <v>27993.32</v>
      </c>
      <c r="L756" t="b">
        <f t="shared" si="11"/>
        <v>0</v>
      </c>
    </row>
    <row r="757" spans="1:12">
      <c r="A757" s="2">
        <v>100755</v>
      </c>
      <c r="B757" s="14">
        <v>46007</v>
      </c>
      <c r="C757" s="2" t="s">
        <v>16</v>
      </c>
      <c r="D757" s="2" t="s">
        <v>168</v>
      </c>
      <c r="E757" s="2" t="s">
        <v>182</v>
      </c>
      <c r="F757" s="2" t="s">
        <v>192</v>
      </c>
      <c r="G757" s="2" t="s">
        <v>205</v>
      </c>
      <c r="H757" s="2">
        <v>3</v>
      </c>
      <c r="I757" s="5">
        <v>13500</v>
      </c>
      <c r="J757" s="10">
        <v>0.1</v>
      </c>
      <c r="K757" s="7">
        <v>2738.13</v>
      </c>
      <c r="L757" t="b">
        <f t="shared" si="11"/>
        <v>0</v>
      </c>
    </row>
    <row r="758" spans="1:12">
      <c r="A758" s="2">
        <v>100756</v>
      </c>
      <c r="B758" s="14">
        <v>45764</v>
      </c>
      <c r="C758" s="2" t="s">
        <v>125</v>
      </c>
      <c r="D758" s="2" t="s">
        <v>176</v>
      </c>
      <c r="E758" s="2" t="s">
        <v>184</v>
      </c>
      <c r="F758" s="2" t="s">
        <v>192</v>
      </c>
      <c r="G758" s="2" t="s">
        <v>207</v>
      </c>
      <c r="H758" s="2">
        <v>4</v>
      </c>
      <c r="I758" s="5">
        <v>7200</v>
      </c>
      <c r="J758" s="10">
        <v>0.15</v>
      </c>
      <c r="K758" s="7">
        <v>1030.46</v>
      </c>
      <c r="L758" t="b">
        <f t="shared" si="11"/>
        <v>0</v>
      </c>
    </row>
    <row r="759" spans="1:12">
      <c r="A759" s="2">
        <v>100757</v>
      </c>
      <c r="B759" s="14">
        <v>45976</v>
      </c>
      <c r="C759" s="2" t="s">
        <v>109</v>
      </c>
      <c r="D759" s="2" t="s">
        <v>170</v>
      </c>
      <c r="E759" s="2" t="s">
        <v>188</v>
      </c>
      <c r="F759" s="2" t="s">
        <v>192</v>
      </c>
      <c r="G759" s="2" t="s">
        <v>208</v>
      </c>
      <c r="H759" s="2">
        <v>4</v>
      </c>
      <c r="I759" s="5">
        <v>12800</v>
      </c>
      <c r="J759" s="10">
        <v>0.05</v>
      </c>
      <c r="K759" s="7">
        <v>1745.68</v>
      </c>
      <c r="L759" t="b">
        <f t="shared" si="11"/>
        <v>0</v>
      </c>
    </row>
    <row r="760" spans="1:12">
      <c r="A760" s="2">
        <v>100758</v>
      </c>
      <c r="B760" s="14">
        <v>45705</v>
      </c>
      <c r="C760" s="2" t="s">
        <v>14</v>
      </c>
      <c r="D760" s="2" t="s">
        <v>165</v>
      </c>
      <c r="E760" s="2" t="s">
        <v>184</v>
      </c>
      <c r="F760" s="2" t="s">
        <v>189</v>
      </c>
      <c r="G760" s="2" t="s">
        <v>194</v>
      </c>
      <c r="H760" s="2">
        <v>3</v>
      </c>
      <c r="I760" s="5">
        <v>186000</v>
      </c>
      <c r="J760" s="10">
        <v>0.1</v>
      </c>
      <c r="K760" s="7">
        <v>34282.81</v>
      </c>
      <c r="L760" t="b">
        <f t="shared" si="11"/>
        <v>0</v>
      </c>
    </row>
    <row r="761" spans="1:12">
      <c r="A761" s="2">
        <v>100759</v>
      </c>
      <c r="B761" s="14">
        <v>45691</v>
      </c>
      <c r="C761" s="2" t="s">
        <v>145</v>
      </c>
      <c r="D761" s="2" t="s">
        <v>178</v>
      </c>
      <c r="E761" s="2" t="s">
        <v>182</v>
      </c>
      <c r="F761" s="2" t="s">
        <v>192</v>
      </c>
      <c r="G761" s="2" t="s">
        <v>207</v>
      </c>
      <c r="H761" s="2">
        <v>2</v>
      </c>
      <c r="I761" s="5">
        <v>3600</v>
      </c>
      <c r="J761" s="10">
        <v>0.05</v>
      </c>
      <c r="K761" s="7">
        <v>685.43</v>
      </c>
      <c r="L761" t="b">
        <f t="shared" si="11"/>
        <v>0</v>
      </c>
    </row>
    <row r="762" spans="1:12">
      <c r="A762" s="2">
        <v>100760</v>
      </c>
      <c r="B762" s="14">
        <v>45728</v>
      </c>
      <c r="C762" s="2" t="s">
        <v>157</v>
      </c>
      <c r="D762" s="2" t="s">
        <v>170</v>
      </c>
      <c r="E762" s="2" t="s">
        <v>187</v>
      </c>
      <c r="F762" s="2" t="s">
        <v>192</v>
      </c>
      <c r="G762" s="2" t="s">
        <v>205</v>
      </c>
      <c r="H762" s="2">
        <v>2</v>
      </c>
      <c r="I762" s="5">
        <v>9000</v>
      </c>
      <c r="J762" s="10">
        <v>0.2</v>
      </c>
      <c r="K762" s="7">
        <v>1456.3</v>
      </c>
      <c r="L762" t="b">
        <f t="shared" si="11"/>
        <v>0</v>
      </c>
    </row>
    <row r="763" spans="1:12">
      <c r="A763" s="2">
        <v>100761</v>
      </c>
      <c r="B763" s="14">
        <v>45683</v>
      </c>
      <c r="C763" s="2" t="s">
        <v>45</v>
      </c>
      <c r="D763" s="2" t="s">
        <v>165</v>
      </c>
      <c r="E763" s="2" t="s">
        <v>186</v>
      </c>
      <c r="F763" s="2" t="s">
        <v>190</v>
      </c>
      <c r="G763" s="2" t="s">
        <v>204</v>
      </c>
      <c r="H763" s="2">
        <v>1</v>
      </c>
      <c r="I763" s="5">
        <v>500</v>
      </c>
      <c r="J763" s="10">
        <v>0.1</v>
      </c>
      <c r="K763" s="7">
        <v>54.65</v>
      </c>
      <c r="L763" t="b">
        <f t="shared" si="11"/>
        <v>0</v>
      </c>
    </row>
    <row r="764" spans="1:12">
      <c r="A764" s="2">
        <v>100762</v>
      </c>
      <c r="B764" s="14">
        <v>45949</v>
      </c>
      <c r="C764" s="2" t="s">
        <v>129</v>
      </c>
      <c r="D764" s="2" t="s">
        <v>169</v>
      </c>
      <c r="E764" s="2" t="s">
        <v>181</v>
      </c>
      <c r="F764" s="2" t="s">
        <v>190</v>
      </c>
      <c r="G764" s="2" t="s">
        <v>195</v>
      </c>
      <c r="H764" s="2">
        <v>2</v>
      </c>
      <c r="I764" s="5">
        <v>1600</v>
      </c>
      <c r="J764" s="10">
        <v>0.05</v>
      </c>
      <c r="K764" s="7">
        <v>268.17</v>
      </c>
      <c r="L764" t="b">
        <f t="shared" si="11"/>
        <v>0</v>
      </c>
    </row>
    <row r="765" spans="1:12">
      <c r="A765" s="2">
        <v>100763</v>
      </c>
      <c r="B765" s="14">
        <v>45914</v>
      </c>
      <c r="C765" s="2" t="s">
        <v>21</v>
      </c>
      <c r="D765" s="2" t="s">
        <v>172</v>
      </c>
      <c r="E765" s="2" t="s">
        <v>186</v>
      </c>
      <c r="F765" s="2" t="s">
        <v>189</v>
      </c>
      <c r="G765" s="2" t="s">
        <v>206</v>
      </c>
      <c r="H765" s="2">
        <v>1</v>
      </c>
      <c r="I765" s="5">
        <v>50000</v>
      </c>
      <c r="J765" s="10">
        <v>0.05</v>
      </c>
      <c r="K765" s="7">
        <v>7888.28</v>
      </c>
      <c r="L765" t="b">
        <f t="shared" si="11"/>
        <v>0</v>
      </c>
    </row>
    <row r="766" spans="1:12">
      <c r="A766" s="2">
        <v>100764</v>
      </c>
      <c r="B766" s="14">
        <v>45870</v>
      </c>
      <c r="C766" s="2" t="s">
        <v>72</v>
      </c>
      <c r="D766" s="2" t="s">
        <v>172</v>
      </c>
      <c r="E766" s="2" t="s">
        <v>186</v>
      </c>
      <c r="F766" s="2" t="s">
        <v>190</v>
      </c>
      <c r="G766" s="2" t="s">
        <v>204</v>
      </c>
      <c r="H766" s="2">
        <v>3</v>
      </c>
      <c r="I766" s="5">
        <v>1500</v>
      </c>
      <c r="J766" s="10">
        <v>0.15</v>
      </c>
      <c r="K766" s="7">
        <v>269.14999999999998</v>
      </c>
      <c r="L766" t="b">
        <f t="shared" si="11"/>
        <v>0</v>
      </c>
    </row>
    <row r="767" spans="1:12">
      <c r="A767" s="2">
        <v>100765</v>
      </c>
      <c r="B767" s="14">
        <v>45770</v>
      </c>
      <c r="C767" s="2" t="s">
        <v>65</v>
      </c>
      <c r="D767" s="2" t="s">
        <v>178</v>
      </c>
      <c r="E767" s="2" t="s">
        <v>187</v>
      </c>
      <c r="F767" s="2" t="s">
        <v>192</v>
      </c>
      <c r="G767" s="2" t="s">
        <v>205</v>
      </c>
      <c r="H767" s="2">
        <v>1</v>
      </c>
      <c r="I767" s="5">
        <v>4500</v>
      </c>
      <c r="J767" s="10">
        <v>0.15</v>
      </c>
      <c r="K767" s="7">
        <v>632.97</v>
      </c>
      <c r="L767" t="b">
        <f t="shared" si="11"/>
        <v>0</v>
      </c>
    </row>
    <row r="768" spans="1:12">
      <c r="A768" s="2">
        <v>100766</v>
      </c>
      <c r="B768" s="14">
        <v>46012</v>
      </c>
      <c r="C768" s="2" t="s">
        <v>145</v>
      </c>
      <c r="D768" s="2" t="s">
        <v>178</v>
      </c>
      <c r="E768" s="2" t="s">
        <v>184</v>
      </c>
      <c r="F768" s="2" t="s">
        <v>190</v>
      </c>
      <c r="G768" s="2" t="s">
        <v>201</v>
      </c>
      <c r="H768" s="2">
        <v>1</v>
      </c>
      <c r="I768" s="5">
        <v>1500</v>
      </c>
      <c r="J768" s="10">
        <v>0.05</v>
      </c>
      <c r="K768" s="7">
        <v>207.83</v>
      </c>
      <c r="L768" t="b">
        <f t="shared" si="11"/>
        <v>0</v>
      </c>
    </row>
    <row r="769" spans="1:12">
      <c r="A769" s="2">
        <v>100767</v>
      </c>
      <c r="B769" s="14">
        <v>45939</v>
      </c>
      <c r="C769" s="2" t="s">
        <v>143</v>
      </c>
      <c r="D769" s="2" t="s">
        <v>174</v>
      </c>
      <c r="E769" s="2" t="s">
        <v>181</v>
      </c>
      <c r="F769" s="2" t="s">
        <v>190</v>
      </c>
      <c r="G769" s="2" t="s">
        <v>201</v>
      </c>
      <c r="H769" s="2">
        <v>4</v>
      </c>
      <c r="I769" s="5">
        <v>6000</v>
      </c>
      <c r="J769" s="10">
        <v>0.1</v>
      </c>
      <c r="K769" s="7">
        <v>696.55</v>
      </c>
      <c r="L769" t="b">
        <f t="shared" si="11"/>
        <v>0</v>
      </c>
    </row>
    <row r="770" spans="1:12">
      <c r="A770" s="2">
        <v>100768</v>
      </c>
      <c r="B770" s="14">
        <v>45837</v>
      </c>
      <c r="C770" s="2" t="s">
        <v>151</v>
      </c>
      <c r="D770" s="2" t="s">
        <v>176</v>
      </c>
      <c r="E770" s="2" t="s">
        <v>185</v>
      </c>
      <c r="F770" s="2" t="s">
        <v>190</v>
      </c>
      <c r="G770" s="2" t="s">
        <v>204</v>
      </c>
      <c r="H770" s="2">
        <v>3</v>
      </c>
      <c r="I770" s="5">
        <v>1500</v>
      </c>
      <c r="J770" s="10">
        <v>0.1</v>
      </c>
      <c r="K770" s="7">
        <v>245.02</v>
      </c>
      <c r="L770" t="b">
        <f t="shared" si="11"/>
        <v>0</v>
      </c>
    </row>
    <row r="771" spans="1:12">
      <c r="A771" s="2">
        <v>100769</v>
      </c>
      <c r="B771" s="14">
        <v>45864</v>
      </c>
      <c r="C771" s="2" t="s">
        <v>137</v>
      </c>
      <c r="D771" s="2" t="s">
        <v>177</v>
      </c>
      <c r="E771" s="2" t="s">
        <v>183</v>
      </c>
      <c r="F771" s="2" t="s">
        <v>192</v>
      </c>
      <c r="G771" s="2" t="s">
        <v>207</v>
      </c>
      <c r="H771" s="2">
        <v>3</v>
      </c>
      <c r="I771" s="5">
        <v>5400</v>
      </c>
      <c r="J771" s="10">
        <v>0.1</v>
      </c>
      <c r="K771" s="7">
        <v>792.05</v>
      </c>
      <c r="L771" t="b">
        <f t="shared" ref="L771:L834" si="12">COUNTIF(A:A, A771) &gt; 1</f>
        <v>0</v>
      </c>
    </row>
    <row r="772" spans="1:12">
      <c r="A772" s="2">
        <v>100770</v>
      </c>
      <c r="B772" s="14">
        <v>45960</v>
      </c>
      <c r="C772" s="2" t="s">
        <v>92</v>
      </c>
      <c r="D772" s="2" t="s">
        <v>165</v>
      </c>
      <c r="E772" s="2" t="s">
        <v>187</v>
      </c>
      <c r="F772" s="2" t="s">
        <v>189</v>
      </c>
      <c r="G772" s="2" t="s">
        <v>193</v>
      </c>
      <c r="H772" s="2">
        <v>1</v>
      </c>
      <c r="I772" s="5">
        <v>85000</v>
      </c>
      <c r="J772" s="10">
        <v>0.15</v>
      </c>
      <c r="K772" s="7">
        <v>10508.63</v>
      </c>
      <c r="L772" t="b">
        <f t="shared" si="12"/>
        <v>0</v>
      </c>
    </row>
    <row r="773" spans="1:12">
      <c r="A773" s="2">
        <v>100771</v>
      </c>
      <c r="B773" s="14">
        <v>45843</v>
      </c>
      <c r="C773" s="2" t="s">
        <v>108</v>
      </c>
      <c r="D773" s="2" t="s">
        <v>164</v>
      </c>
      <c r="E773" s="2" t="s">
        <v>182</v>
      </c>
      <c r="F773" s="2" t="s">
        <v>192</v>
      </c>
      <c r="G773" s="2" t="s">
        <v>207</v>
      </c>
      <c r="H773" s="2">
        <v>1</v>
      </c>
      <c r="I773" s="5">
        <v>1800</v>
      </c>
      <c r="J773" s="10">
        <v>0.05</v>
      </c>
      <c r="K773" s="7">
        <v>303.13</v>
      </c>
      <c r="L773" t="b">
        <f t="shared" si="12"/>
        <v>0</v>
      </c>
    </row>
    <row r="774" spans="1:12">
      <c r="A774" s="2">
        <v>100772</v>
      </c>
      <c r="B774" s="14">
        <v>45713</v>
      </c>
      <c r="C774" s="2" t="s">
        <v>88</v>
      </c>
      <c r="D774" s="2" t="s">
        <v>164</v>
      </c>
      <c r="E774" s="2" t="s">
        <v>185</v>
      </c>
      <c r="F774" s="2" t="s">
        <v>192</v>
      </c>
      <c r="G774" s="2" t="s">
        <v>203</v>
      </c>
      <c r="H774" s="2">
        <v>2</v>
      </c>
      <c r="I774" s="5">
        <v>4000</v>
      </c>
      <c r="J774" s="10">
        <v>0.05</v>
      </c>
      <c r="K774" s="7">
        <v>486.1</v>
      </c>
      <c r="L774" t="b">
        <f t="shared" si="12"/>
        <v>0</v>
      </c>
    </row>
    <row r="775" spans="1:12">
      <c r="A775" s="2">
        <v>100773</v>
      </c>
      <c r="B775" s="14">
        <v>45696</v>
      </c>
      <c r="C775" s="2" t="s">
        <v>102</v>
      </c>
      <c r="D775" s="2" t="s">
        <v>171</v>
      </c>
      <c r="E775" s="2" t="s">
        <v>183</v>
      </c>
      <c r="F775" s="2" t="s">
        <v>192</v>
      </c>
      <c r="G775" s="2" t="s">
        <v>203</v>
      </c>
      <c r="H775" s="2">
        <v>2</v>
      </c>
      <c r="I775" s="5">
        <v>4000</v>
      </c>
      <c r="J775" s="10">
        <v>0.05</v>
      </c>
      <c r="K775" s="7">
        <v>613.61</v>
      </c>
      <c r="L775" t="b">
        <f t="shared" si="12"/>
        <v>0</v>
      </c>
    </row>
    <row r="776" spans="1:12">
      <c r="A776" s="2">
        <v>100774</v>
      </c>
      <c r="B776" s="14">
        <v>45671</v>
      </c>
      <c r="C776" s="2" t="s">
        <v>87</v>
      </c>
      <c r="D776" s="2" t="s">
        <v>174</v>
      </c>
      <c r="E776" s="2" t="s">
        <v>182</v>
      </c>
      <c r="F776" s="2" t="s">
        <v>189</v>
      </c>
      <c r="G776" s="2" t="s">
        <v>196</v>
      </c>
      <c r="H776" s="2">
        <v>1</v>
      </c>
      <c r="I776" s="5">
        <v>55000</v>
      </c>
      <c r="J776" s="10">
        <v>0.05</v>
      </c>
      <c r="K776" s="7">
        <v>11259.83</v>
      </c>
      <c r="L776" t="b">
        <f t="shared" si="12"/>
        <v>0</v>
      </c>
    </row>
    <row r="777" spans="1:12">
      <c r="A777" s="2">
        <v>100775</v>
      </c>
      <c r="B777" s="14">
        <v>45685</v>
      </c>
      <c r="C777" s="2" t="s">
        <v>88</v>
      </c>
      <c r="D777" s="2" t="s">
        <v>164</v>
      </c>
      <c r="E777" s="2" t="s">
        <v>186</v>
      </c>
      <c r="F777" s="2" t="s">
        <v>189</v>
      </c>
      <c r="G777" s="2" t="s">
        <v>196</v>
      </c>
      <c r="H777" s="2">
        <v>2</v>
      </c>
      <c r="I777" s="5">
        <v>110000</v>
      </c>
      <c r="J777" s="10">
        <v>0.1</v>
      </c>
      <c r="K777" s="7">
        <v>23996.77</v>
      </c>
      <c r="L777" t="b">
        <f t="shared" si="12"/>
        <v>0</v>
      </c>
    </row>
    <row r="778" spans="1:12">
      <c r="A778" s="2">
        <v>100776</v>
      </c>
      <c r="B778" s="14">
        <v>45735</v>
      </c>
      <c r="C778" s="2" t="s">
        <v>99</v>
      </c>
      <c r="D778" s="2" t="s">
        <v>178</v>
      </c>
      <c r="E778" s="2" t="s">
        <v>188</v>
      </c>
      <c r="F778" s="2" t="s">
        <v>190</v>
      </c>
      <c r="G778" s="2" t="s">
        <v>201</v>
      </c>
      <c r="H778" s="2">
        <v>3</v>
      </c>
      <c r="I778" s="5">
        <v>4500</v>
      </c>
      <c r="J778" s="10">
        <v>0.05</v>
      </c>
      <c r="K778" s="7">
        <v>563.80999999999995</v>
      </c>
      <c r="L778" t="b">
        <f t="shared" si="12"/>
        <v>0</v>
      </c>
    </row>
    <row r="779" spans="1:12">
      <c r="A779" s="2">
        <v>100777</v>
      </c>
      <c r="B779" s="14">
        <v>45755</v>
      </c>
      <c r="C779" s="2" t="s">
        <v>134</v>
      </c>
      <c r="D779" s="2" t="s">
        <v>175</v>
      </c>
      <c r="E779" s="2" t="s">
        <v>182</v>
      </c>
      <c r="F779" s="2" t="s">
        <v>191</v>
      </c>
      <c r="G779" s="2" t="s">
        <v>209</v>
      </c>
      <c r="H779" s="2">
        <v>1</v>
      </c>
      <c r="I779" s="5">
        <v>26000</v>
      </c>
      <c r="J779" s="10">
        <v>0.2</v>
      </c>
      <c r="K779" s="7">
        <v>3597.52</v>
      </c>
      <c r="L779" t="b">
        <f t="shared" si="12"/>
        <v>0</v>
      </c>
    </row>
    <row r="780" spans="1:12">
      <c r="A780" s="2">
        <v>100778</v>
      </c>
      <c r="B780" s="14">
        <v>45722</v>
      </c>
      <c r="C780" s="2" t="s">
        <v>110</v>
      </c>
      <c r="D780" s="2" t="s">
        <v>169</v>
      </c>
      <c r="E780" s="2" t="s">
        <v>181</v>
      </c>
      <c r="F780" s="2" t="s">
        <v>189</v>
      </c>
      <c r="G780" s="2" t="s">
        <v>196</v>
      </c>
      <c r="H780" s="2">
        <v>2</v>
      </c>
      <c r="I780" s="5">
        <v>110000</v>
      </c>
      <c r="J780" s="10">
        <v>0.05</v>
      </c>
      <c r="K780" s="7">
        <v>15206.66</v>
      </c>
      <c r="L780" t="b">
        <f t="shared" si="12"/>
        <v>0</v>
      </c>
    </row>
    <row r="781" spans="1:12">
      <c r="A781" s="2">
        <v>100779</v>
      </c>
      <c r="B781" s="14">
        <v>45671</v>
      </c>
      <c r="C781" s="2" t="s">
        <v>75</v>
      </c>
      <c r="D781" s="2" t="s">
        <v>173</v>
      </c>
      <c r="E781" s="2" t="s">
        <v>181</v>
      </c>
      <c r="F781" s="2" t="s">
        <v>189</v>
      </c>
      <c r="G781" s="2" t="s">
        <v>206</v>
      </c>
      <c r="H781" s="2">
        <v>4</v>
      </c>
      <c r="I781" s="5">
        <v>200000</v>
      </c>
      <c r="J781" s="10">
        <v>0.1</v>
      </c>
      <c r="K781" s="7">
        <v>35104.54</v>
      </c>
      <c r="L781" t="b">
        <f t="shared" si="12"/>
        <v>0</v>
      </c>
    </row>
    <row r="782" spans="1:12">
      <c r="A782" s="2">
        <v>100780</v>
      </c>
      <c r="B782" s="14">
        <v>45815</v>
      </c>
      <c r="C782" s="2" t="s">
        <v>123</v>
      </c>
      <c r="D782" s="2" t="s">
        <v>167</v>
      </c>
      <c r="E782" s="2" t="s">
        <v>188</v>
      </c>
      <c r="F782" s="2" t="s">
        <v>189</v>
      </c>
      <c r="G782" s="2" t="s">
        <v>194</v>
      </c>
      <c r="H782" s="2">
        <v>1</v>
      </c>
      <c r="I782" s="5">
        <v>62000</v>
      </c>
      <c r="J782" s="10">
        <v>0.15</v>
      </c>
      <c r="K782" s="7">
        <v>11862.31</v>
      </c>
      <c r="L782" t="b">
        <f t="shared" si="12"/>
        <v>0</v>
      </c>
    </row>
    <row r="783" spans="1:12">
      <c r="A783" s="2">
        <v>100781</v>
      </c>
      <c r="B783" s="14">
        <v>45880</v>
      </c>
      <c r="C783" s="2" t="s">
        <v>54</v>
      </c>
      <c r="D783" s="2" t="s">
        <v>170</v>
      </c>
      <c r="E783" s="2" t="s">
        <v>185</v>
      </c>
      <c r="F783" s="2" t="s">
        <v>189</v>
      </c>
      <c r="G783" s="2" t="s">
        <v>196</v>
      </c>
      <c r="H783" s="2">
        <v>1</v>
      </c>
      <c r="I783" s="5">
        <v>55000</v>
      </c>
      <c r="J783" s="10">
        <v>0.05</v>
      </c>
      <c r="K783" s="7">
        <v>8494.01</v>
      </c>
      <c r="L783" t="b">
        <f t="shared" si="12"/>
        <v>0</v>
      </c>
    </row>
    <row r="784" spans="1:12">
      <c r="A784" s="2">
        <v>100782</v>
      </c>
      <c r="B784" s="14">
        <v>45839</v>
      </c>
      <c r="C784" s="2" t="s">
        <v>108</v>
      </c>
      <c r="D784" s="2" t="s">
        <v>164</v>
      </c>
      <c r="E784" s="2" t="s">
        <v>183</v>
      </c>
      <c r="F784" s="2" t="s">
        <v>189</v>
      </c>
      <c r="G784" s="2" t="s">
        <v>194</v>
      </c>
      <c r="H784" s="2">
        <v>4</v>
      </c>
      <c r="I784" s="5">
        <v>248000</v>
      </c>
      <c r="J784" s="10">
        <v>0.2</v>
      </c>
      <c r="K784" s="7">
        <v>44201.5</v>
      </c>
      <c r="L784" t="b">
        <f t="shared" si="12"/>
        <v>0</v>
      </c>
    </row>
    <row r="785" spans="1:12">
      <c r="A785" s="2">
        <v>100783</v>
      </c>
      <c r="B785" s="14">
        <v>45717</v>
      </c>
      <c r="C785" s="2" t="s">
        <v>69</v>
      </c>
      <c r="D785" s="2" t="s">
        <v>177</v>
      </c>
      <c r="E785" s="2" t="s">
        <v>182</v>
      </c>
      <c r="F785" s="2" t="s">
        <v>191</v>
      </c>
      <c r="G785" s="2" t="s">
        <v>197</v>
      </c>
      <c r="H785" s="2">
        <v>1</v>
      </c>
      <c r="I785" s="5">
        <v>58000</v>
      </c>
      <c r="J785" s="10">
        <v>0.05</v>
      </c>
      <c r="K785" s="7">
        <v>10867.18</v>
      </c>
      <c r="L785" t="b">
        <f t="shared" si="12"/>
        <v>0</v>
      </c>
    </row>
    <row r="786" spans="1:12">
      <c r="A786" s="2">
        <v>100784</v>
      </c>
      <c r="B786" s="14">
        <v>45768</v>
      </c>
      <c r="C786" s="2" t="s">
        <v>127</v>
      </c>
      <c r="D786" s="2" t="s">
        <v>170</v>
      </c>
      <c r="E786" s="2" t="s">
        <v>181</v>
      </c>
      <c r="F786" s="2" t="s">
        <v>189</v>
      </c>
      <c r="G786" s="2" t="s">
        <v>194</v>
      </c>
      <c r="H786" s="2">
        <v>2</v>
      </c>
      <c r="I786" s="5">
        <v>124000</v>
      </c>
      <c r="J786" s="10">
        <v>0.2</v>
      </c>
      <c r="K786" s="7">
        <v>22627.55</v>
      </c>
      <c r="L786" t="b">
        <f t="shared" si="12"/>
        <v>0</v>
      </c>
    </row>
    <row r="787" spans="1:12">
      <c r="A787" s="2">
        <v>100785</v>
      </c>
      <c r="B787" s="14">
        <v>45895</v>
      </c>
      <c r="C787" s="2" t="s">
        <v>13</v>
      </c>
      <c r="D787" s="2" t="s">
        <v>166</v>
      </c>
      <c r="E787" s="2" t="s">
        <v>185</v>
      </c>
      <c r="F787" s="2" t="s">
        <v>190</v>
      </c>
      <c r="G787" s="2" t="s">
        <v>195</v>
      </c>
      <c r="H787" s="2">
        <v>3</v>
      </c>
      <c r="I787" s="5">
        <v>2400</v>
      </c>
      <c r="J787" s="10">
        <v>0.1</v>
      </c>
      <c r="K787" s="7">
        <v>476.17</v>
      </c>
      <c r="L787" t="b">
        <f t="shared" si="12"/>
        <v>0</v>
      </c>
    </row>
    <row r="788" spans="1:12">
      <c r="A788" s="2">
        <v>100786</v>
      </c>
      <c r="B788" s="14">
        <v>46020</v>
      </c>
      <c r="C788" s="2" t="s">
        <v>160</v>
      </c>
      <c r="D788" s="2" t="s">
        <v>172</v>
      </c>
      <c r="E788" s="2" t="s">
        <v>188</v>
      </c>
      <c r="F788" s="2" t="s">
        <v>189</v>
      </c>
      <c r="G788" s="2" t="s">
        <v>198</v>
      </c>
      <c r="H788" s="2">
        <v>2</v>
      </c>
      <c r="I788" s="5">
        <v>90000</v>
      </c>
      <c r="J788" s="10">
        <v>0.2</v>
      </c>
      <c r="K788" s="7">
        <v>8776.74</v>
      </c>
      <c r="L788" t="b">
        <f t="shared" si="12"/>
        <v>0</v>
      </c>
    </row>
    <row r="789" spans="1:12">
      <c r="A789" s="2">
        <v>100787</v>
      </c>
      <c r="B789" s="14">
        <v>45896</v>
      </c>
      <c r="C789" s="2" t="s">
        <v>24</v>
      </c>
      <c r="D789" s="2" t="s">
        <v>166</v>
      </c>
      <c r="E789" s="2" t="s">
        <v>184</v>
      </c>
      <c r="F789" s="2" t="s">
        <v>189</v>
      </c>
      <c r="G789" s="2" t="s">
        <v>206</v>
      </c>
      <c r="H789" s="2">
        <v>3</v>
      </c>
      <c r="I789" s="5">
        <v>150000</v>
      </c>
      <c r="J789" s="10">
        <v>0.15</v>
      </c>
      <c r="K789" s="7">
        <v>21722.01</v>
      </c>
      <c r="L789" t="b">
        <f t="shared" si="12"/>
        <v>0</v>
      </c>
    </row>
    <row r="790" spans="1:12">
      <c r="A790" s="2">
        <v>100788</v>
      </c>
      <c r="B790" s="14">
        <v>45667</v>
      </c>
      <c r="C790" s="2" t="s">
        <v>85</v>
      </c>
      <c r="D790" s="2" t="s">
        <v>166</v>
      </c>
      <c r="E790" s="2" t="s">
        <v>187</v>
      </c>
      <c r="F790" s="2" t="s">
        <v>192</v>
      </c>
      <c r="G790" s="2" t="s">
        <v>203</v>
      </c>
      <c r="H790" s="2">
        <v>1</v>
      </c>
      <c r="I790" s="5">
        <v>2000</v>
      </c>
      <c r="J790" s="10">
        <v>0.05</v>
      </c>
      <c r="K790" s="7">
        <v>300.5</v>
      </c>
      <c r="L790" t="b">
        <f t="shared" si="12"/>
        <v>0</v>
      </c>
    </row>
    <row r="791" spans="1:12">
      <c r="A791" s="2">
        <v>100789</v>
      </c>
      <c r="B791" s="14">
        <v>45951</v>
      </c>
      <c r="C791" s="2" t="s">
        <v>124</v>
      </c>
      <c r="D791" s="2" t="s">
        <v>165</v>
      </c>
      <c r="E791" s="2" t="s">
        <v>184</v>
      </c>
      <c r="F791" s="2" t="s">
        <v>189</v>
      </c>
      <c r="G791" s="2" t="s">
        <v>196</v>
      </c>
      <c r="H791" s="2">
        <v>1</v>
      </c>
      <c r="I791" s="5">
        <v>55000</v>
      </c>
      <c r="J791" s="10">
        <v>0.2</v>
      </c>
      <c r="K791" s="7">
        <v>9324.1299999999992</v>
      </c>
      <c r="L791" t="b">
        <f t="shared" si="12"/>
        <v>0</v>
      </c>
    </row>
    <row r="792" spans="1:12">
      <c r="A792" s="2">
        <v>100790</v>
      </c>
      <c r="B792" s="14">
        <v>45884</v>
      </c>
      <c r="C792" s="2" t="s">
        <v>37</v>
      </c>
      <c r="D792" s="2" t="s">
        <v>173</v>
      </c>
      <c r="E792" s="2" t="s">
        <v>184</v>
      </c>
      <c r="F792" s="2" t="s">
        <v>189</v>
      </c>
      <c r="G792" s="2" t="s">
        <v>198</v>
      </c>
      <c r="H792" s="2">
        <v>3</v>
      </c>
      <c r="I792" s="5">
        <v>135000</v>
      </c>
      <c r="J792" s="10">
        <v>0.1</v>
      </c>
      <c r="K792" s="7">
        <v>28573.01</v>
      </c>
      <c r="L792" t="b">
        <f t="shared" si="12"/>
        <v>0</v>
      </c>
    </row>
    <row r="793" spans="1:12">
      <c r="A793" s="2">
        <v>100791</v>
      </c>
      <c r="B793" s="14">
        <v>45672</v>
      </c>
      <c r="C793" s="2" t="s">
        <v>139</v>
      </c>
      <c r="D793" s="2" t="s">
        <v>173</v>
      </c>
      <c r="E793" s="2" t="s">
        <v>181</v>
      </c>
      <c r="F793" s="2" t="s">
        <v>189</v>
      </c>
      <c r="G793" s="2" t="s">
        <v>193</v>
      </c>
      <c r="H793" s="2">
        <v>4</v>
      </c>
      <c r="I793" s="5">
        <v>340000</v>
      </c>
      <c r="J793" s="10">
        <v>0.1</v>
      </c>
      <c r="K793" s="7">
        <v>65994.820000000007</v>
      </c>
      <c r="L793" t="b">
        <f t="shared" si="12"/>
        <v>0</v>
      </c>
    </row>
    <row r="794" spans="1:12">
      <c r="A794" s="2">
        <v>100792</v>
      </c>
      <c r="B794" s="14">
        <v>45968</v>
      </c>
      <c r="C794" s="2" t="s">
        <v>26</v>
      </c>
      <c r="D794" s="2" t="s">
        <v>166</v>
      </c>
      <c r="E794" s="2" t="s">
        <v>186</v>
      </c>
      <c r="F794" s="2" t="s">
        <v>189</v>
      </c>
      <c r="G794" s="2" t="s">
        <v>206</v>
      </c>
      <c r="H794" s="2">
        <v>4</v>
      </c>
      <c r="I794" s="5">
        <v>200000</v>
      </c>
      <c r="J794" s="10">
        <v>0.15</v>
      </c>
      <c r="K794" s="7">
        <v>21487.78</v>
      </c>
      <c r="L794" t="b">
        <f t="shared" si="12"/>
        <v>0</v>
      </c>
    </row>
    <row r="795" spans="1:12">
      <c r="A795" s="2">
        <v>100793</v>
      </c>
      <c r="B795" s="14">
        <v>45776</v>
      </c>
      <c r="C795" s="2" t="s">
        <v>131</v>
      </c>
      <c r="D795" s="2" t="s">
        <v>175</v>
      </c>
      <c r="E795" s="2" t="s">
        <v>186</v>
      </c>
      <c r="F795" s="2" t="s">
        <v>191</v>
      </c>
      <c r="G795" s="2" t="s">
        <v>209</v>
      </c>
      <c r="H795" s="2">
        <v>1</v>
      </c>
      <c r="I795" s="5">
        <v>26000</v>
      </c>
      <c r="J795" s="10">
        <v>0.1</v>
      </c>
      <c r="K795" s="7">
        <v>3587.33</v>
      </c>
      <c r="L795" t="b">
        <f t="shared" si="12"/>
        <v>0</v>
      </c>
    </row>
    <row r="796" spans="1:12">
      <c r="A796" s="2">
        <v>100794</v>
      </c>
      <c r="B796" s="14">
        <v>45685</v>
      </c>
      <c r="C796" s="2" t="s">
        <v>48</v>
      </c>
      <c r="D796" s="2" t="s">
        <v>176</v>
      </c>
      <c r="E796" s="2" t="s">
        <v>188</v>
      </c>
      <c r="F796" s="2" t="s">
        <v>190</v>
      </c>
      <c r="G796" s="2" t="s">
        <v>201</v>
      </c>
      <c r="H796" s="2">
        <v>1</v>
      </c>
      <c r="I796" s="5">
        <v>1500</v>
      </c>
      <c r="J796" s="10">
        <v>0.1</v>
      </c>
      <c r="K796" s="7">
        <v>312.77</v>
      </c>
      <c r="L796" t="b">
        <f t="shared" si="12"/>
        <v>0</v>
      </c>
    </row>
    <row r="797" spans="1:12">
      <c r="A797" s="2">
        <v>100795</v>
      </c>
      <c r="B797" s="14">
        <v>45859</v>
      </c>
      <c r="C797" s="2" t="s">
        <v>103</v>
      </c>
      <c r="D797" s="2" t="s">
        <v>172</v>
      </c>
      <c r="E797" s="2" t="s">
        <v>182</v>
      </c>
      <c r="F797" s="2" t="s">
        <v>192</v>
      </c>
      <c r="G797" s="2" t="s">
        <v>203</v>
      </c>
      <c r="H797" s="2">
        <v>4</v>
      </c>
      <c r="I797" s="5">
        <v>8000</v>
      </c>
      <c r="J797" s="10">
        <v>0.05</v>
      </c>
      <c r="K797" s="7">
        <v>1148.2</v>
      </c>
      <c r="L797" t="b">
        <f t="shared" si="12"/>
        <v>0</v>
      </c>
    </row>
    <row r="798" spans="1:12">
      <c r="A798" s="2">
        <v>100796</v>
      </c>
      <c r="B798" s="14">
        <v>45871</v>
      </c>
      <c r="C798" s="2" t="s">
        <v>41</v>
      </c>
      <c r="D798" s="2" t="s">
        <v>172</v>
      </c>
      <c r="E798" s="2" t="s">
        <v>186</v>
      </c>
      <c r="F798" s="2" t="s">
        <v>192</v>
      </c>
      <c r="G798" s="2" t="s">
        <v>203</v>
      </c>
      <c r="H798" s="2">
        <v>4</v>
      </c>
      <c r="I798" s="5">
        <v>8000</v>
      </c>
      <c r="J798" s="10">
        <v>0.15</v>
      </c>
      <c r="K798" s="7">
        <v>1092.3399999999999</v>
      </c>
      <c r="L798" t="b">
        <f t="shared" si="12"/>
        <v>0</v>
      </c>
    </row>
    <row r="799" spans="1:12">
      <c r="A799" s="2">
        <v>100797</v>
      </c>
      <c r="B799" s="14">
        <v>45930</v>
      </c>
      <c r="C799" s="2" t="s">
        <v>100</v>
      </c>
      <c r="D799" s="2" t="s">
        <v>170</v>
      </c>
      <c r="E799" s="2" t="s">
        <v>184</v>
      </c>
      <c r="F799" s="2" t="s">
        <v>192</v>
      </c>
      <c r="G799" s="2" t="s">
        <v>207</v>
      </c>
      <c r="H799" s="2">
        <v>3</v>
      </c>
      <c r="I799" s="5">
        <v>5400</v>
      </c>
      <c r="J799" s="10">
        <v>0.15</v>
      </c>
      <c r="K799" s="7">
        <v>1133.51</v>
      </c>
      <c r="L799" t="b">
        <f t="shared" si="12"/>
        <v>0</v>
      </c>
    </row>
    <row r="800" spans="1:12">
      <c r="A800" s="2">
        <v>100798</v>
      </c>
      <c r="B800" s="14">
        <v>45888</v>
      </c>
      <c r="C800" s="2" t="s">
        <v>56</v>
      </c>
      <c r="D800" s="2" t="s">
        <v>171</v>
      </c>
      <c r="E800" s="2" t="s">
        <v>186</v>
      </c>
      <c r="F800" s="2" t="s">
        <v>190</v>
      </c>
      <c r="G800" s="2" t="s">
        <v>201</v>
      </c>
      <c r="H800" s="2">
        <v>3</v>
      </c>
      <c r="I800" s="5">
        <v>4500</v>
      </c>
      <c r="J800" s="10">
        <v>0.05</v>
      </c>
      <c r="K800" s="7">
        <v>681.61</v>
      </c>
      <c r="L800" t="b">
        <f t="shared" si="12"/>
        <v>0</v>
      </c>
    </row>
    <row r="801" spans="1:12">
      <c r="A801" s="2">
        <v>100799</v>
      </c>
      <c r="B801" s="14">
        <v>45743</v>
      </c>
      <c r="C801" s="2" t="s">
        <v>155</v>
      </c>
      <c r="D801" s="2" t="s">
        <v>174</v>
      </c>
      <c r="E801" s="2" t="s">
        <v>184</v>
      </c>
      <c r="F801" s="2" t="s">
        <v>190</v>
      </c>
      <c r="G801" s="2" t="s">
        <v>201</v>
      </c>
      <c r="H801" s="2">
        <v>3</v>
      </c>
      <c r="I801" s="5">
        <v>4500</v>
      </c>
      <c r="J801" s="10">
        <v>0.15</v>
      </c>
      <c r="K801" s="7">
        <v>802.93</v>
      </c>
      <c r="L801" t="b">
        <f t="shared" si="12"/>
        <v>0</v>
      </c>
    </row>
    <row r="802" spans="1:12">
      <c r="A802" s="2">
        <v>100800</v>
      </c>
      <c r="B802" s="14">
        <v>45813</v>
      </c>
      <c r="C802" s="2" t="s">
        <v>16</v>
      </c>
      <c r="D802" s="2" t="s">
        <v>168</v>
      </c>
      <c r="E802" s="2" t="s">
        <v>183</v>
      </c>
      <c r="F802" s="2" t="s">
        <v>191</v>
      </c>
      <c r="G802" s="2" t="s">
        <v>209</v>
      </c>
      <c r="H802" s="2">
        <v>4</v>
      </c>
      <c r="I802" s="5">
        <v>104000</v>
      </c>
      <c r="J802" s="10">
        <v>0.15</v>
      </c>
      <c r="K802" s="7">
        <v>12110.2</v>
      </c>
      <c r="L802" t="b">
        <f t="shared" si="12"/>
        <v>0</v>
      </c>
    </row>
    <row r="803" spans="1:12">
      <c r="A803" s="2">
        <v>100801</v>
      </c>
      <c r="B803" s="14">
        <v>45957</v>
      </c>
      <c r="C803" s="2" t="s">
        <v>73</v>
      </c>
      <c r="D803" s="2" t="s">
        <v>166</v>
      </c>
      <c r="E803" s="2" t="s">
        <v>181</v>
      </c>
      <c r="F803" s="2" t="s">
        <v>191</v>
      </c>
      <c r="G803" s="2" t="s">
        <v>200</v>
      </c>
      <c r="H803" s="2">
        <v>1</v>
      </c>
      <c r="I803" s="5">
        <v>28000</v>
      </c>
      <c r="J803" s="10">
        <v>0.1</v>
      </c>
      <c r="K803" s="7">
        <v>4907.8999999999996</v>
      </c>
      <c r="L803" t="b">
        <f t="shared" si="12"/>
        <v>0</v>
      </c>
    </row>
    <row r="804" spans="1:12">
      <c r="A804" s="2">
        <v>100802</v>
      </c>
      <c r="B804" s="14">
        <v>45682</v>
      </c>
      <c r="C804" s="2" t="s">
        <v>25</v>
      </c>
      <c r="D804" s="2" t="s">
        <v>166</v>
      </c>
      <c r="E804" s="2" t="s">
        <v>181</v>
      </c>
      <c r="F804" s="2" t="s">
        <v>191</v>
      </c>
      <c r="G804" s="2" t="s">
        <v>202</v>
      </c>
      <c r="H804" s="2">
        <v>2</v>
      </c>
      <c r="I804" s="5">
        <v>76000</v>
      </c>
      <c r="J804" s="10">
        <v>0.15</v>
      </c>
      <c r="K804" s="7">
        <v>10373.77</v>
      </c>
      <c r="L804" t="b">
        <f t="shared" si="12"/>
        <v>0</v>
      </c>
    </row>
    <row r="805" spans="1:12">
      <c r="A805" s="2">
        <v>100803</v>
      </c>
      <c r="B805" s="14">
        <v>45802</v>
      </c>
      <c r="C805" s="2" t="s">
        <v>53</v>
      </c>
      <c r="D805" s="2" t="s">
        <v>171</v>
      </c>
      <c r="E805" s="2" t="s">
        <v>182</v>
      </c>
      <c r="F805" s="2" t="s">
        <v>191</v>
      </c>
      <c r="G805" s="2" t="s">
        <v>202</v>
      </c>
      <c r="H805" s="2">
        <v>2</v>
      </c>
      <c r="I805" s="5">
        <v>76000</v>
      </c>
      <c r="J805" s="10">
        <v>0.2</v>
      </c>
      <c r="K805" s="7">
        <v>13186.18</v>
      </c>
      <c r="L805" t="b">
        <f t="shared" si="12"/>
        <v>0</v>
      </c>
    </row>
    <row r="806" spans="1:12">
      <c r="A806" s="2">
        <v>100804</v>
      </c>
      <c r="B806" s="14">
        <v>45670</v>
      </c>
      <c r="C806" s="2" t="s">
        <v>132</v>
      </c>
      <c r="D806" s="2" t="s">
        <v>171</v>
      </c>
      <c r="E806" s="2" t="s">
        <v>186</v>
      </c>
      <c r="F806" s="2" t="s">
        <v>190</v>
      </c>
      <c r="G806" s="2" t="s">
        <v>199</v>
      </c>
      <c r="H806" s="2">
        <v>3</v>
      </c>
      <c r="I806" s="5">
        <v>5400</v>
      </c>
      <c r="J806" s="10">
        <v>0.2</v>
      </c>
      <c r="K806" s="7">
        <v>669.56</v>
      </c>
      <c r="L806" t="b">
        <f t="shared" si="12"/>
        <v>0</v>
      </c>
    </row>
    <row r="807" spans="1:12">
      <c r="A807" s="2">
        <v>100805</v>
      </c>
      <c r="B807" s="14">
        <v>45869</v>
      </c>
      <c r="C807" s="2" t="s">
        <v>139</v>
      </c>
      <c r="D807" s="2" t="s">
        <v>173</v>
      </c>
      <c r="E807" s="2" t="s">
        <v>186</v>
      </c>
      <c r="F807" s="2" t="s">
        <v>190</v>
      </c>
      <c r="G807" s="2" t="s">
        <v>199</v>
      </c>
      <c r="H807" s="2">
        <v>4</v>
      </c>
      <c r="I807" s="5">
        <v>7200</v>
      </c>
      <c r="J807" s="10">
        <v>0.2</v>
      </c>
      <c r="K807" s="7">
        <v>1372.05</v>
      </c>
      <c r="L807" t="b">
        <f t="shared" si="12"/>
        <v>0</v>
      </c>
    </row>
    <row r="808" spans="1:12">
      <c r="A808" s="2">
        <v>100806</v>
      </c>
      <c r="B808" s="14">
        <v>45682</v>
      </c>
      <c r="C808" s="2" t="s">
        <v>146</v>
      </c>
      <c r="D808" s="2" t="s">
        <v>169</v>
      </c>
      <c r="E808" s="2" t="s">
        <v>187</v>
      </c>
      <c r="F808" s="2" t="s">
        <v>192</v>
      </c>
      <c r="G808" s="2" t="s">
        <v>208</v>
      </c>
      <c r="H808" s="2">
        <v>1</v>
      </c>
      <c r="I808" s="5">
        <v>3200</v>
      </c>
      <c r="J808" s="10">
        <v>0.2</v>
      </c>
      <c r="K808" s="7">
        <v>605.72</v>
      </c>
      <c r="L808" t="b">
        <f t="shared" si="12"/>
        <v>0</v>
      </c>
    </row>
    <row r="809" spans="1:12">
      <c r="A809" s="2">
        <v>100807</v>
      </c>
      <c r="B809" s="14">
        <v>45903</v>
      </c>
      <c r="C809" s="2" t="s">
        <v>132</v>
      </c>
      <c r="D809" s="2" t="s">
        <v>171</v>
      </c>
      <c r="E809" s="2" t="s">
        <v>185</v>
      </c>
      <c r="F809" s="2" t="s">
        <v>190</v>
      </c>
      <c r="G809" s="2" t="s">
        <v>199</v>
      </c>
      <c r="H809" s="2">
        <v>1</v>
      </c>
      <c r="I809" s="5">
        <v>1800</v>
      </c>
      <c r="J809" s="10">
        <v>0.15</v>
      </c>
      <c r="K809" s="7">
        <v>373.81</v>
      </c>
      <c r="L809" t="b">
        <f t="shared" si="12"/>
        <v>0</v>
      </c>
    </row>
    <row r="810" spans="1:12">
      <c r="A810" s="2">
        <v>100808</v>
      </c>
      <c r="B810" s="14">
        <v>45872</v>
      </c>
      <c r="C810" s="2" t="s">
        <v>150</v>
      </c>
      <c r="D810" s="2" t="s">
        <v>176</v>
      </c>
      <c r="E810" s="2" t="s">
        <v>183</v>
      </c>
      <c r="F810" s="2" t="s">
        <v>190</v>
      </c>
      <c r="G810" s="2" t="s">
        <v>199</v>
      </c>
      <c r="H810" s="2">
        <v>3</v>
      </c>
      <c r="I810" s="5">
        <v>5400</v>
      </c>
      <c r="J810" s="10">
        <v>0.05</v>
      </c>
      <c r="K810" s="7">
        <v>657.24</v>
      </c>
      <c r="L810" t="b">
        <f t="shared" si="12"/>
        <v>0</v>
      </c>
    </row>
    <row r="811" spans="1:12">
      <c r="A811" s="2">
        <v>100809</v>
      </c>
      <c r="B811" s="14">
        <v>45890</v>
      </c>
      <c r="C811" s="2" t="s">
        <v>33</v>
      </c>
      <c r="D811" s="2" t="s">
        <v>175</v>
      </c>
      <c r="E811" s="2" t="s">
        <v>181</v>
      </c>
      <c r="F811" s="2" t="s">
        <v>190</v>
      </c>
      <c r="G811" s="2" t="s">
        <v>199</v>
      </c>
      <c r="H811" s="2">
        <v>4</v>
      </c>
      <c r="I811" s="5">
        <v>7200</v>
      </c>
      <c r="J811" s="10">
        <v>0.15</v>
      </c>
      <c r="K811" s="7">
        <v>932.14</v>
      </c>
      <c r="L811" t="b">
        <f t="shared" si="12"/>
        <v>0</v>
      </c>
    </row>
    <row r="812" spans="1:12">
      <c r="A812" s="2">
        <v>100810</v>
      </c>
      <c r="B812" s="14">
        <v>45766</v>
      </c>
      <c r="C812" s="2" t="s">
        <v>119</v>
      </c>
      <c r="D812" s="2" t="s">
        <v>173</v>
      </c>
      <c r="E812" s="2" t="s">
        <v>183</v>
      </c>
      <c r="F812" s="2" t="s">
        <v>192</v>
      </c>
      <c r="G812" s="2" t="s">
        <v>207</v>
      </c>
      <c r="H812" s="2">
        <v>4</v>
      </c>
      <c r="I812" s="5">
        <v>7200</v>
      </c>
      <c r="J812" s="10">
        <v>0.15</v>
      </c>
      <c r="K812" s="7">
        <v>1430.94</v>
      </c>
      <c r="L812" t="b">
        <f t="shared" si="12"/>
        <v>0</v>
      </c>
    </row>
    <row r="813" spans="1:12">
      <c r="A813" s="2">
        <v>100811</v>
      </c>
      <c r="B813" s="14">
        <v>45803</v>
      </c>
      <c r="C813" s="2" t="s">
        <v>105</v>
      </c>
      <c r="D813" s="2" t="s">
        <v>165</v>
      </c>
      <c r="E813" s="2" t="s">
        <v>181</v>
      </c>
      <c r="F813" s="2" t="s">
        <v>190</v>
      </c>
      <c r="G813" s="2" t="s">
        <v>201</v>
      </c>
      <c r="H813" s="2">
        <v>1</v>
      </c>
      <c r="I813" s="5">
        <v>1500</v>
      </c>
      <c r="J813" s="10">
        <v>0.15</v>
      </c>
      <c r="K813" s="7">
        <v>295.08999999999997</v>
      </c>
      <c r="L813" t="b">
        <f t="shared" si="12"/>
        <v>0</v>
      </c>
    </row>
    <row r="814" spans="1:12">
      <c r="A814" s="2">
        <v>100812</v>
      </c>
      <c r="B814" s="14">
        <v>45768</v>
      </c>
      <c r="C814" s="2" t="s">
        <v>134</v>
      </c>
      <c r="D814" s="2" t="s">
        <v>175</v>
      </c>
      <c r="E814" s="2" t="s">
        <v>183</v>
      </c>
      <c r="F814" s="2" t="s">
        <v>191</v>
      </c>
      <c r="G814" s="2" t="s">
        <v>209</v>
      </c>
      <c r="H814" s="2">
        <v>1</v>
      </c>
      <c r="I814" s="5">
        <v>26000</v>
      </c>
      <c r="J814" s="10">
        <v>0.1</v>
      </c>
      <c r="K814" s="7">
        <v>4907.96</v>
      </c>
      <c r="L814" t="b">
        <f t="shared" si="12"/>
        <v>0</v>
      </c>
    </row>
    <row r="815" spans="1:12">
      <c r="A815" s="2">
        <v>100813</v>
      </c>
      <c r="B815" s="14">
        <v>45885</v>
      </c>
      <c r="C815" s="2" t="s">
        <v>86</v>
      </c>
      <c r="D815" s="2" t="s">
        <v>168</v>
      </c>
      <c r="E815" s="2" t="s">
        <v>188</v>
      </c>
      <c r="F815" s="2" t="s">
        <v>190</v>
      </c>
      <c r="G815" s="2" t="s">
        <v>199</v>
      </c>
      <c r="H815" s="2">
        <v>1</v>
      </c>
      <c r="I815" s="5">
        <v>1800</v>
      </c>
      <c r="J815" s="10">
        <v>0.1</v>
      </c>
      <c r="K815" s="7">
        <v>264.24</v>
      </c>
      <c r="L815" t="b">
        <f t="shared" si="12"/>
        <v>0</v>
      </c>
    </row>
    <row r="816" spans="1:12">
      <c r="A816" s="2">
        <v>100814</v>
      </c>
      <c r="B816" s="14">
        <v>45768</v>
      </c>
      <c r="C816" s="2" t="s">
        <v>134</v>
      </c>
      <c r="D816" s="2" t="s">
        <v>175</v>
      </c>
      <c r="E816" s="2" t="s">
        <v>184</v>
      </c>
      <c r="F816" s="2" t="s">
        <v>189</v>
      </c>
      <c r="G816" s="2" t="s">
        <v>196</v>
      </c>
      <c r="H816" s="2">
        <v>2</v>
      </c>
      <c r="I816" s="5">
        <v>110000</v>
      </c>
      <c r="J816" s="10">
        <v>0.15</v>
      </c>
      <c r="K816" s="7">
        <v>12678.03</v>
      </c>
      <c r="L816" t="b">
        <f t="shared" si="12"/>
        <v>0</v>
      </c>
    </row>
    <row r="817" spans="1:12">
      <c r="A817" s="2">
        <v>100815</v>
      </c>
      <c r="B817" s="14">
        <v>45718</v>
      </c>
      <c r="C817" s="2" t="s">
        <v>135</v>
      </c>
      <c r="D817" s="2" t="s">
        <v>177</v>
      </c>
      <c r="E817" s="2" t="s">
        <v>181</v>
      </c>
      <c r="F817" s="2" t="s">
        <v>191</v>
      </c>
      <c r="G817" s="2" t="s">
        <v>209</v>
      </c>
      <c r="H817" s="2">
        <v>3</v>
      </c>
      <c r="I817" s="5">
        <v>78000</v>
      </c>
      <c r="J817" s="10">
        <v>0.15</v>
      </c>
      <c r="K817" s="7">
        <v>15380.56</v>
      </c>
      <c r="L817" t="b">
        <f t="shared" si="12"/>
        <v>0</v>
      </c>
    </row>
    <row r="818" spans="1:12">
      <c r="A818" s="2">
        <v>100816</v>
      </c>
      <c r="B818" s="14">
        <v>45768</v>
      </c>
      <c r="C818" s="2" t="s">
        <v>106</v>
      </c>
      <c r="D818" s="2" t="s">
        <v>170</v>
      </c>
      <c r="E818" s="2" t="s">
        <v>183</v>
      </c>
      <c r="F818" s="2" t="s">
        <v>191</v>
      </c>
      <c r="G818" s="2" t="s">
        <v>202</v>
      </c>
      <c r="H818" s="2">
        <v>2</v>
      </c>
      <c r="I818" s="5">
        <v>76000</v>
      </c>
      <c r="J818" s="10">
        <v>0.2</v>
      </c>
      <c r="K818" s="7">
        <v>9895.01</v>
      </c>
      <c r="L818" t="b">
        <f t="shared" si="12"/>
        <v>0</v>
      </c>
    </row>
    <row r="819" spans="1:12">
      <c r="A819" s="2">
        <v>100817</v>
      </c>
      <c r="B819" s="14">
        <v>45921</v>
      </c>
      <c r="C819" s="2" t="s">
        <v>29</v>
      </c>
      <c r="D819" s="2" t="s">
        <v>169</v>
      </c>
      <c r="E819" s="2" t="s">
        <v>186</v>
      </c>
      <c r="F819" s="2" t="s">
        <v>192</v>
      </c>
      <c r="G819" s="2" t="s">
        <v>208</v>
      </c>
      <c r="H819" s="2">
        <v>2</v>
      </c>
      <c r="I819" s="5">
        <v>6400</v>
      </c>
      <c r="J819" s="10">
        <v>0.15</v>
      </c>
      <c r="K819" s="7">
        <v>1227.01</v>
      </c>
      <c r="L819" t="b">
        <f t="shared" si="12"/>
        <v>0</v>
      </c>
    </row>
    <row r="820" spans="1:12">
      <c r="A820" s="2">
        <v>100818</v>
      </c>
      <c r="B820" s="14">
        <v>45893</v>
      </c>
      <c r="C820" s="2" t="s">
        <v>23</v>
      </c>
      <c r="D820" s="2" t="s">
        <v>173</v>
      </c>
      <c r="E820" s="2" t="s">
        <v>185</v>
      </c>
      <c r="F820" s="2" t="s">
        <v>192</v>
      </c>
      <c r="G820" s="2" t="s">
        <v>207</v>
      </c>
      <c r="H820" s="2">
        <v>4</v>
      </c>
      <c r="I820" s="5">
        <v>7200</v>
      </c>
      <c r="J820" s="10">
        <v>0.1</v>
      </c>
      <c r="K820" s="7">
        <v>1500.81</v>
      </c>
      <c r="L820" t="b">
        <f t="shared" si="12"/>
        <v>0</v>
      </c>
    </row>
    <row r="821" spans="1:12">
      <c r="A821" s="2">
        <v>100819</v>
      </c>
      <c r="B821" s="14">
        <v>45740</v>
      </c>
      <c r="C821" s="2" t="s">
        <v>138</v>
      </c>
      <c r="D821" s="2" t="s">
        <v>166</v>
      </c>
      <c r="E821" s="2" t="s">
        <v>188</v>
      </c>
      <c r="F821" s="2" t="s">
        <v>189</v>
      </c>
      <c r="G821" s="2" t="s">
        <v>193</v>
      </c>
      <c r="H821" s="2">
        <v>1</v>
      </c>
      <c r="I821" s="5">
        <v>85000</v>
      </c>
      <c r="J821" s="10">
        <v>0.05</v>
      </c>
      <c r="K821" s="7">
        <v>17478.91</v>
      </c>
      <c r="L821" t="b">
        <f t="shared" si="12"/>
        <v>0</v>
      </c>
    </row>
    <row r="822" spans="1:12">
      <c r="A822" s="2">
        <v>100820</v>
      </c>
      <c r="B822" s="14">
        <v>45963</v>
      </c>
      <c r="C822" s="2" t="s">
        <v>118</v>
      </c>
      <c r="D822" s="2" t="s">
        <v>166</v>
      </c>
      <c r="E822" s="2" t="s">
        <v>188</v>
      </c>
      <c r="F822" s="2" t="s">
        <v>192</v>
      </c>
      <c r="G822" s="2" t="s">
        <v>205</v>
      </c>
      <c r="H822" s="2">
        <v>4</v>
      </c>
      <c r="I822" s="5">
        <v>18000</v>
      </c>
      <c r="J822" s="10">
        <v>0.15</v>
      </c>
      <c r="K822" s="7">
        <v>3572.48</v>
      </c>
      <c r="L822" t="b">
        <f t="shared" si="12"/>
        <v>0</v>
      </c>
    </row>
    <row r="823" spans="1:12">
      <c r="A823" s="2">
        <v>100821</v>
      </c>
      <c r="B823" s="14">
        <v>45965</v>
      </c>
      <c r="C823" s="2" t="s">
        <v>60</v>
      </c>
      <c r="D823" s="2" t="s">
        <v>174</v>
      </c>
      <c r="E823" s="2" t="s">
        <v>185</v>
      </c>
      <c r="F823" s="2" t="s">
        <v>191</v>
      </c>
      <c r="G823" s="2" t="s">
        <v>200</v>
      </c>
      <c r="H823" s="2">
        <v>4</v>
      </c>
      <c r="I823" s="5">
        <v>112000</v>
      </c>
      <c r="J823" s="10">
        <v>0.15</v>
      </c>
      <c r="K823" s="7">
        <v>20303.349999999999</v>
      </c>
      <c r="L823" t="b">
        <f t="shared" si="12"/>
        <v>0</v>
      </c>
    </row>
    <row r="824" spans="1:12">
      <c r="A824" s="2">
        <v>100822</v>
      </c>
      <c r="B824" s="14">
        <v>45809</v>
      </c>
      <c r="C824" s="2" t="s">
        <v>87</v>
      </c>
      <c r="D824" s="2" t="s">
        <v>174</v>
      </c>
      <c r="E824" s="2" t="s">
        <v>183</v>
      </c>
      <c r="F824" s="2" t="s">
        <v>190</v>
      </c>
      <c r="G824" s="2" t="s">
        <v>204</v>
      </c>
      <c r="H824" s="2">
        <v>2</v>
      </c>
      <c r="I824" s="5">
        <v>1000</v>
      </c>
      <c r="J824" s="10">
        <v>0.15</v>
      </c>
      <c r="K824" s="7">
        <v>144.37</v>
      </c>
      <c r="L824" t="b">
        <f t="shared" si="12"/>
        <v>0</v>
      </c>
    </row>
    <row r="825" spans="1:12">
      <c r="A825" s="2">
        <v>100823</v>
      </c>
      <c r="B825" s="14">
        <v>45837</v>
      </c>
      <c r="C825" s="2" t="s">
        <v>67</v>
      </c>
      <c r="D825" s="2" t="s">
        <v>171</v>
      </c>
      <c r="E825" s="2" t="s">
        <v>186</v>
      </c>
      <c r="F825" s="2" t="s">
        <v>189</v>
      </c>
      <c r="G825" s="2" t="s">
        <v>196</v>
      </c>
      <c r="H825" s="2">
        <v>3</v>
      </c>
      <c r="I825" s="5">
        <v>165000</v>
      </c>
      <c r="J825" s="10">
        <v>0.1</v>
      </c>
      <c r="K825" s="7">
        <v>28416.7</v>
      </c>
      <c r="L825" t="b">
        <f t="shared" si="12"/>
        <v>0</v>
      </c>
    </row>
    <row r="826" spans="1:12">
      <c r="A826" s="2">
        <v>100824</v>
      </c>
      <c r="B826" s="14">
        <v>45910</v>
      </c>
      <c r="C826" s="2" t="s">
        <v>97</v>
      </c>
      <c r="D826" s="2" t="s">
        <v>168</v>
      </c>
      <c r="E826" s="2" t="s">
        <v>182</v>
      </c>
      <c r="F826" s="2" t="s">
        <v>191</v>
      </c>
      <c r="G826" s="2" t="s">
        <v>202</v>
      </c>
      <c r="H826" s="2">
        <v>4</v>
      </c>
      <c r="I826" s="5">
        <v>152000</v>
      </c>
      <c r="J826" s="10">
        <v>0.05</v>
      </c>
      <c r="K826" s="7">
        <v>26922.63</v>
      </c>
      <c r="L826" t="b">
        <f t="shared" si="12"/>
        <v>0</v>
      </c>
    </row>
    <row r="827" spans="1:12">
      <c r="A827" s="2">
        <v>100825</v>
      </c>
      <c r="B827" s="14">
        <v>45977</v>
      </c>
      <c r="C827" s="2" t="s">
        <v>139</v>
      </c>
      <c r="D827" s="2" t="s">
        <v>173</v>
      </c>
      <c r="E827" s="2" t="s">
        <v>185</v>
      </c>
      <c r="F827" s="2" t="s">
        <v>190</v>
      </c>
      <c r="G827" s="2" t="s">
        <v>201</v>
      </c>
      <c r="H827" s="2">
        <v>3</v>
      </c>
      <c r="I827" s="5">
        <v>4500</v>
      </c>
      <c r="J827" s="10">
        <v>0.2</v>
      </c>
      <c r="K827" s="7">
        <v>819.84</v>
      </c>
      <c r="L827" t="b">
        <f t="shared" si="12"/>
        <v>0</v>
      </c>
    </row>
    <row r="828" spans="1:12">
      <c r="A828" s="2">
        <v>100826</v>
      </c>
      <c r="B828" s="14">
        <v>45883</v>
      </c>
      <c r="C828" s="2" t="s">
        <v>55</v>
      </c>
      <c r="D828" s="2" t="s">
        <v>172</v>
      </c>
      <c r="E828" s="2" t="s">
        <v>183</v>
      </c>
      <c r="F828" s="2" t="s">
        <v>192</v>
      </c>
      <c r="G828" s="2" t="s">
        <v>208</v>
      </c>
      <c r="H828" s="2">
        <v>4</v>
      </c>
      <c r="I828" s="5">
        <v>12800</v>
      </c>
      <c r="J828" s="10">
        <v>0.15</v>
      </c>
      <c r="K828" s="7">
        <v>1454.68</v>
      </c>
      <c r="L828" t="b">
        <f t="shared" si="12"/>
        <v>0</v>
      </c>
    </row>
    <row r="829" spans="1:12">
      <c r="A829" s="2">
        <v>100827</v>
      </c>
      <c r="B829" s="14">
        <v>45972</v>
      </c>
      <c r="C829" s="2" t="s">
        <v>95</v>
      </c>
      <c r="D829" s="2" t="s">
        <v>165</v>
      </c>
      <c r="E829" s="2" t="s">
        <v>185</v>
      </c>
      <c r="F829" s="2" t="s">
        <v>192</v>
      </c>
      <c r="G829" s="2" t="s">
        <v>205</v>
      </c>
      <c r="H829" s="2">
        <v>3</v>
      </c>
      <c r="I829" s="5">
        <v>13500</v>
      </c>
      <c r="J829" s="10">
        <v>0.2</v>
      </c>
      <c r="K829" s="7">
        <v>2274.62</v>
      </c>
      <c r="L829" t="b">
        <f t="shared" si="12"/>
        <v>0</v>
      </c>
    </row>
    <row r="830" spans="1:12">
      <c r="A830" s="2">
        <v>100828</v>
      </c>
      <c r="B830" s="14">
        <v>45886</v>
      </c>
      <c r="C830" s="2" t="s">
        <v>124</v>
      </c>
      <c r="D830" s="2" t="s">
        <v>165</v>
      </c>
      <c r="E830" s="2" t="s">
        <v>185</v>
      </c>
      <c r="F830" s="2" t="s">
        <v>190</v>
      </c>
      <c r="G830" s="2" t="s">
        <v>195</v>
      </c>
      <c r="H830" s="2">
        <v>1</v>
      </c>
      <c r="I830" s="5">
        <v>800</v>
      </c>
      <c r="J830" s="10">
        <v>0.2</v>
      </c>
      <c r="K830" s="7">
        <v>137.15</v>
      </c>
      <c r="L830" t="b">
        <f t="shared" si="12"/>
        <v>0</v>
      </c>
    </row>
    <row r="831" spans="1:12">
      <c r="A831" s="2">
        <v>100829</v>
      </c>
      <c r="B831" s="14">
        <v>45946</v>
      </c>
      <c r="C831" s="2" t="s">
        <v>55</v>
      </c>
      <c r="D831" s="2" t="s">
        <v>172</v>
      </c>
      <c r="E831" s="2" t="s">
        <v>181</v>
      </c>
      <c r="F831" s="2" t="s">
        <v>190</v>
      </c>
      <c r="G831" s="2" t="s">
        <v>199</v>
      </c>
      <c r="H831" s="2">
        <v>2</v>
      </c>
      <c r="I831" s="5">
        <v>3600</v>
      </c>
      <c r="J831" s="10">
        <v>0.1</v>
      </c>
      <c r="K831" s="7">
        <v>762.14</v>
      </c>
      <c r="L831" t="b">
        <f t="shared" si="12"/>
        <v>0</v>
      </c>
    </row>
    <row r="832" spans="1:12">
      <c r="A832" s="2">
        <v>100830</v>
      </c>
      <c r="B832" s="14">
        <v>45807</v>
      </c>
      <c r="C832" s="2" t="s">
        <v>50</v>
      </c>
      <c r="D832" s="2" t="s">
        <v>164</v>
      </c>
      <c r="E832" s="2" t="s">
        <v>183</v>
      </c>
      <c r="F832" s="2" t="s">
        <v>190</v>
      </c>
      <c r="G832" s="2" t="s">
        <v>195</v>
      </c>
      <c r="H832" s="2">
        <v>2</v>
      </c>
      <c r="I832" s="5">
        <v>1600</v>
      </c>
      <c r="J832" s="10">
        <v>0.15</v>
      </c>
      <c r="K832" s="7">
        <v>283.27999999999997</v>
      </c>
      <c r="L832" t="b">
        <f t="shared" si="12"/>
        <v>0</v>
      </c>
    </row>
    <row r="833" spans="1:12">
      <c r="A833" s="2">
        <v>100831</v>
      </c>
      <c r="B833" s="14">
        <v>45757</v>
      </c>
      <c r="C833" s="2" t="s">
        <v>103</v>
      </c>
      <c r="D833" s="2" t="s">
        <v>172</v>
      </c>
      <c r="E833" s="2" t="s">
        <v>182</v>
      </c>
      <c r="F833" s="2" t="s">
        <v>192</v>
      </c>
      <c r="G833" s="2" t="s">
        <v>208</v>
      </c>
      <c r="H833" s="2">
        <v>4</v>
      </c>
      <c r="I833" s="5">
        <v>12800</v>
      </c>
      <c r="J833" s="10">
        <v>0.15</v>
      </c>
      <c r="K833" s="7">
        <v>1657.49</v>
      </c>
      <c r="L833" t="b">
        <f t="shared" si="12"/>
        <v>0</v>
      </c>
    </row>
    <row r="834" spans="1:12">
      <c r="A834" s="2">
        <v>100832</v>
      </c>
      <c r="B834" s="14">
        <v>45855</v>
      </c>
      <c r="C834" s="2" t="s">
        <v>31</v>
      </c>
      <c r="D834" s="2" t="s">
        <v>168</v>
      </c>
      <c r="E834" s="2" t="s">
        <v>184</v>
      </c>
      <c r="F834" s="2" t="s">
        <v>190</v>
      </c>
      <c r="G834" s="2" t="s">
        <v>201</v>
      </c>
      <c r="H834" s="2">
        <v>1</v>
      </c>
      <c r="I834" s="5">
        <v>1500</v>
      </c>
      <c r="J834" s="10">
        <v>0.1</v>
      </c>
      <c r="K834" s="7">
        <v>298.10000000000002</v>
      </c>
      <c r="L834" t="b">
        <f t="shared" si="12"/>
        <v>0</v>
      </c>
    </row>
    <row r="835" spans="1:12">
      <c r="A835" s="2">
        <v>100833</v>
      </c>
      <c r="B835" s="14">
        <v>45964</v>
      </c>
      <c r="C835" s="2" t="s">
        <v>94</v>
      </c>
      <c r="D835" s="2" t="s">
        <v>175</v>
      </c>
      <c r="E835" s="2" t="s">
        <v>181</v>
      </c>
      <c r="F835" s="2" t="s">
        <v>192</v>
      </c>
      <c r="G835" s="2" t="s">
        <v>203</v>
      </c>
      <c r="H835" s="2">
        <v>4</v>
      </c>
      <c r="I835" s="5">
        <v>8000</v>
      </c>
      <c r="J835" s="10">
        <v>0.2</v>
      </c>
      <c r="K835" s="7">
        <v>776.92</v>
      </c>
      <c r="L835" t="b">
        <f t="shared" ref="L835:L898" si="13">COUNTIF(A:A, A835) &gt; 1</f>
        <v>0</v>
      </c>
    </row>
    <row r="836" spans="1:12">
      <c r="A836" s="2">
        <v>100834</v>
      </c>
      <c r="B836" s="14">
        <v>45769</v>
      </c>
      <c r="C836" s="2" t="s">
        <v>70</v>
      </c>
      <c r="D836" s="2" t="s">
        <v>166</v>
      </c>
      <c r="E836" s="2" t="s">
        <v>185</v>
      </c>
      <c r="F836" s="2" t="s">
        <v>189</v>
      </c>
      <c r="G836" s="2" t="s">
        <v>193</v>
      </c>
      <c r="H836" s="2">
        <v>1</v>
      </c>
      <c r="I836" s="5">
        <v>85000</v>
      </c>
      <c r="J836" s="10">
        <v>0.1</v>
      </c>
      <c r="K836" s="7">
        <v>12851.06</v>
      </c>
      <c r="L836" t="b">
        <f t="shared" si="13"/>
        <v>0</v>
      </c>
    </row>
    <row r="837" spans="1:12">
      <c r="A837" s="2">
        <v>100835</v>
      </c>
      <c r="B837" s="14">
        <v>45748</v>
      </c>
      <c r="C837" s="2" t="s">
        <v>58</v>
      </c>
      <c r="D837" s="2" t="s">
        <v>178</v>
      </c>
      <c r="E837" s="2" t="s">
        <v>184</v>
      </c>
      <c r="F837" s="2" t="s">
        <v>192</v>
      </c>
      <c r="G837" s="2" t="s">
        <v>205</v>
      </c>
      <c r="H837" s="2">
        <v>1</v>
      </c>
      <c r="I837" s="5">
        <v>4500</v>
      </c>
      <c r="J837" s="10">
        <v>0.05</v>
      </c>
      <c r="K837" s="7">
        <v>802.29</v>
      </c>
      <c r="L837" t="b">
        <f t="shared" si="13"/>
        <v>0</v>
      </c>
    </row>
    <row r="838" spans="1:12">
      <c r="A838" s="2">
        <v>100836</v>
      </c>
      <c r="B838" s="14">
        <v>46007</v>
      </c>
      <c r="C838" s="2" t="s">
        <v>134</v>
      </c>
      <c r="D838" s="2" t="s">
        <v>175</v>
      </c>
      <c r="E838" s="2" t="s">
        <v>187</v>
      </c>
      <c r="F838" s="2" t="s">
        <v>191</v>
      </c>
      <c r="G838" s="2" t="s">
        <v>202</v>
      </c>
      <c r="H838" s="2">
        <v>1</v>
      </c>
      <c r="I838" s="5">
        <v>38000</v>
      </c>
      <c r="J838" s="10">
        <v>0.15</v>
      </c>
      <c r="K838" s="7">
        <v>5998.68</v>
      </c>
      <c r="L838" t="b">
        <f t="shared" si="13"/>
        <v>0</v>
      </c>
    </row>
    <row r="839" spans="1:12">
      <c r="A839" s="2">
        <v>100837</v>
      </c>
      <c r="B839" s="14">
        <v>45988</v>
      </c>
      <c r="C839" s="2" t="s">
        <v>18</v>
      </c>
      <c r="D839" s="2" t="s">
        <v>170</v>
      </c>
      <c r="E839" s="2" t="s">
        <v>184</v>
      </c>
      <c r="F839" s="2" t="s">
        <v>189</v>
      </c>
      <c r="G839" s="2" t="s">
        <v>206</v>
      </c>
      <c r="H839" s="2">
        <v>2</v>
      </c>
      <c r="I839" s="5">
        <v>100000</v>
      </c>
      <c r="J839" s="10">
        <v>0.1</v>
      </c>
      <c r="K839" s="7">
        <v>22298.05</v>
      </c>
      <c r="L839" t="b">
        <f t="shared" si="13"/>
        <v>0</v>
      </c>
    </row>
    <row r="840" spans="1:12">
      <c r="A840" s="2">
        <v>100838</v>
      </c>
      <c r="B840" s="14">
        <v>45975</v>
      </c>
      <c r="C840" s="2" t="s">
        <v>111</v>
      </c>
      <c r="D840" s="2" t="s">
        <v>175</v>
      </c>
      <c r="E840" s="2" t="s">
        <v>185</v>
      </c>
      <c r="F840" s="2" t="s">
        <v>191</v>
      </c>
      <c r="G840" s="2" t="s">
        <v>197</v>
      </c>
      <c r="H840" s="2">
        <v>1</v>
      </c>
      <c r="I840" s="5">
        <v>58000</v>
      </c>
      <c r="J840" s="10">
        <v>0.05</v>
      </c>
      <c r="K840" s="7">
        <v>11362.12</v>
      </c>
      <c r="L840" t="b">
        <f t="shared" si="13"/>
        <v>0</v>
      </c>
    </row>
    <row r="841" spans="1:12">
      <c r="A841" s="2">
        <v>100839</v>
      </c>
      <c r="B841" s="14">
        <v>46007</v>
      </c>
      <c r="C841" s="2" t="s">
        <v>51</v>
      </c>
      <c r="D841" s="2" t="s">
        <v>176</v>
      </c>
      <c r="E841" s="2" t="s">
        <v>185</v>
      </c>
      <c r="F841" s="2" t="s">
        <v>192</v>
      </c>
      <c r="G841" s="2" t="s">
        <v>205</v>
      </c>
      <c r="H841" s="2">
        <v>1</v>
      </c>
      <c r="I841" s="5">
        <v>4500</v>
      </c>
      <c r="J841" s="10">
        <v>0.2</v>
      </c>
      <c r="K841" s="7">
        <v>629.59</v>
      </c>
      <c r="L841" t="b">
        <f t="shared" si="13"/>
        <v>0</v>
      </c>
    </row>
    <row r="842" spans="1:12">
      <c r="A842" s="2">
        <v>100840</v>
      </c>
      <c r="B842" s="14">
        <v>45781</v>
      </c>
      <c r="C842" s="2" t="s">
        <v>19</v>
      </c>
      <c r="D842" s="2" t="s">
        <v>165</v>
      </c>
      <c r="E842" s="2" t="s">
        <v>186</v>
      </c>
      <c r="F842" s="2" t="s">
        <v>189</v>
      </c>
      <c r="G842" s="2" t="s">
        <v>196</v>
      </c>
      <c r="H842" s="2">
        <v>1</v>
      </c>
      <c r="I842" s="5">
        <v>55000</v>
      </c>
      <c r="J842" s="10">
        <v>0.2</v>
      </c>
      <c r="K842" s="7">
        <v>10160.549999999999</v>
      </c>
      <c r="L842" t="b">
        <f t="shared" si="13"/>
        <v>0</v>
      </c>
    </row>
    <row r="843" spans="1:12">
      <c r="A843" s="2">
        <v>100841</v>
      </c>
      <c r="B843" s="14">
        <v>45663</v>
      </c>
      <c r="C843" s="2" t="s">
        <v>115</v>
      </c>
      <c r="D843" s="2" t="s">
        <v>176</v>
      </c>
      <c r="E843" s="2" t="s">
        <v>183</v>
      </c>
      <c r="F843" s="2" t="s">
        <v>192</v>
      </c>
      <c r="G843" s="2" t="s">
        <v>203</v>
      </c>
      <c r="H843" s="2">
        <v>3</v>
      </c>
      <c r="I843" s="5">
        <v>6000</v>
      </c>
      <c r="J843" s="10">
        <v>0.05</v>
      </c>
      <c r="K843" s="7">
        <v>889.16</v>
      </c>
      <c r="L843" t="b">
        <f t="shared" si="13"/>
        <v>0</v>
      </c>
    </row>
    <row r="844" spans="1:12">
      <c r="A844" s="2">
        <v>100842</v>
      </c>
      <c r="B844" s="14">
        <v>45849</v>
      </c>
      <c r="C844" s="2" t="s">
        <v>148</v>
      </c>
      <c r="D844" s="2" t="s">
        <v>178</v>
      </c>
      <c r="E844" s="2" t="s">
        <v>183</v>
      </c>
      <c r="F844" s="2" t="s">
        <v>190</v>
      </c>
      <c r="G844" s="2" t="s">
        <v>199</v>
      </c>
      <c r="H844" s="2">
        <v>4</v>
      </c>
      <c r="I844" s="5">
        <v>7200</v>
      </c>
      <c r="J844" s="10">
        <v>0.05</v>
      </c>
      <c r="K844" s="7">
        <v>1408.38</v>
      </c>
      <c r="L844" t="b">
        <f t="shared" si="13"/>
        <v>0</v>
      </c>
    </row>
    <row r="845" spans="1:12">
      <c r="A845" s="2">
        <v>100843</v>
      </c>
      <c r="B845" s="14">
        <v>45794</v>
      </c>
      <c r="C845" s="2" t="s">
        <v>102</v>
      </c>
      <c r="D845" s="2" t="s">
        <v>171</v>
      </c>
      <c r="E845" s="2" t="s">
        <v>181</v>
      </c>
      <c r="F845" s="2" t="s">
        <v>191</v>
      </c>
      <c r="G845" s="2" t="s">
        <v>197</v>
      </c>
      <c r="H845" s="2">
        <v>1</v>
      </c>
      <c r="I845" s="5">
        <v>58000</v>
      </c>
      <c r="J845" s="10">
        <v>0.15</v>
      </c>
      <c r="K845" s="7">
        <v>11335.79</v>
      </c>
      <c r="L845" t="b">
        <f t="shared" si="13"/>
        <v>0</v>
      </c>
    </row>
    <row r="846" spans="1:12">
      <c r="A846" s="2">
        <v>100844</v>
      </c>
      <c r="B846" s="14">
        <v>45756</v>
      </c>
      <c r="C846" s="2" t="s">
        <v>13</v>
      </c>
      <c r="D846" s="2" t="s">
        <v>166</v>
      </c>
      <c r="E846" s="2" t="s">
        <v>182</v>
      </c>
      <c r="F846" s="2" t="s">
        <v>189</v>
      </c>
      <c r="G846" s="2" t="s">
        <v>198</v>
      </c>
      <c r="H846" s="2">
        <v>4</v>
      </c>
      <c r="I846" s="5">
        <v>180000</v>
      </c>
      <c r="J846" s="10">
        <v>0.2</v>
      </c>
      <c r="K846" s="7">
        <v>24326.49</v>
      </c>
      <c r="L846" t="b">
        <f t="shared" si="13"/>
        <v>0</v>
      </c>
    </row>
    <row r="847" spans="1:12">
      <c r="A847" s="2">
        <v>100845</v>
      </c>
      <c r="B847" s="14">
        <v>45900</v>
      </c>
      <c r="C847" s="2" t="s">
        <v>37</v>
      </c>
      <c r="D847" s="2" t="s">
        <v>173</v>
      </c>
      <c r="E847" s="2" t="s">
        <v>181</v>
      </c>
      <c r="F847" s="2" t="s">
        <v>189</v>
      </c>
      <c r="G847" s="2" t="s">
        <v>206</v>
      </c>
      <c r="H847" s="2">
        <v>1</v>
      </c>
      <c r="I847" s="5">
        <v>50000</v>
      </c>
      <c r="J847" s="10">
        <v>0.1</v>
      </c>
      <c r="K847" s="7">
        <v>6684.86</v>
      </c>
      <c r="L847" t="b">
        <f t="shared" si="13"/>
        <v>0</v>
      </c>
    </row>
    <row r="848" spans="1:12">
      <c r="A848" s="2">
        <v>100846</v>
      </c>
      <c r="B848" s="14">
        <v>45688</v>
      </c>
      <c r="C848" s="2" t="s">
        <v>155</v>
      </c>
      <c r="D848" s="2" t="s">
        <v>174</v>
      </c>
      <c r="E848" s="2" t="s">
        <v>188</v>
      </c>
      <c r="F848" s="2" t="s">
        <v>189</v>
      </c>
      <c r="G848" s="2" t="s">
        <v>196</v>
      </c>
      <c r="H848" s="2">
        <v>4</v>
      </c>
      <c r="I848" s="5">
        <v>220000</v>
      </c>
      <c r="J848" s="10">
        <v>0.1</v>
      </c>
      <c r="K848" s="7">
        <v>45481.46</v>
      </c>
      <c r="L848" t="b">
        <f t="shared" si="13"/>
        <v>0</v>
      </c>
    </row>
    <row r="849" spans="1:12">
      <c r="A849" s="2">
        <v>100847</v>
      </c>
      <c r="B849" s="14">
        <v>45902</v>
      </c>
      <c r="C849" s="2" t="s">
        <v>57</v>
      </c>
      <c r="D849" s="2" t="s">
        <v>173</v>
      </c>
      <c r="E849" s="2" t="s">
        <v>185</v>
      </c>
      <c r="F849" s="2" t="s">
        <v>191</v>
      </c>
      <c r="G849" s="2" t="s">
        <v>197</v>
      </c>
      <c r="H849" s="2">
        <v>3</v>
      </c>
      <c r="I849" s="5">
        <v>174000</v>
      </c>
      <c r="J849" s="10">
        <v>0.05</v>
      </c>
      <c r="K849" s="7">
        <v>22422.49</v>
      </c>
      <c r="L849" t="b">
        <f t="shared" si="13"/>
        <v>0</v>
      </c>
    </row>
    <row r="850" spans="1:12">
      <c r="A850" s="2">
        <v>100848</v>
      </c>
      <c r="B850" s="14">
        <v>45886</v>
      </c>
      <c r="C850" s="2" t="s">
        <v>125</v>
      </c>
      <c r="D850" s="2" t="s">
        <v>176</v>
      </c>
      <c r="E850" s="2" t="s">
        <v>184</v>
      </c>
      <c r="F850" s="2" t="s">
        <v>191</v>
      </c>
      <c r="G850" s="2" t="s">
        <v>200</v>
      </c>
      <c r="H850" s="2">
        <v>2</v>
      </c>
      <c r="I850" s="5">
        <v>56000</v>
      </c>
      <c r="J850" s="10">
        <v>0.15</v>
      </c>
      <c r="K850" s="7">
        <v>11459.46</v>
      </c>
      <c r="L850" t="b">
        <f t="shared" si="13"/>
        <v>0</v>
      </c>
    </row>
    <row r="851" spans="1:12">
      <c r="A851" s="2">
        <v>100849</v>
      </c>
      <c r="B851" s="14">
        <v>45779</v>
      </c>
      <c r="C851" s="2" t="s">
        <v>34</v>
      </c>
      <c r="D851" s="2" t="s">
        <v>176</v>
      </c>
      <c r="E851" s="2" t="s">
        <v>187</v>
      </c>
      <c r="F851" s="2" t="s">
        <v>189</v>
      </c>
      <c r="G851" s="2" t="s">
        <v>206</v>
      </c>
      <c r="H851" s="2">
        <v>4</v>
      </c>
      <c r="I851" s="5">
        <v>200000</v>
      </c>
      <c r="J851" s="10">
        <v>0.2</v>
      </c>
      <c r="K851" s="7">
        <v>29857.77</v>
      </c>
      <c r="L851" t="b">
        <f t="shared" si="13"/>
        <v>0</v>
      </c>
    </row>
    <row r="852" spans="1:12">
      <c r="A852" s="2">
        <v>100850</v>
      </c>
      <c r="B852" s="14">
        <v>45969</v>
      </c>
      <c r="C852" s="2" t="s">
        <v>155</v>
      </c>
      <c r="D852" s="2" t="s">
        <v>174</v>
      </c>
      <c r="E852" s="2" t="s">
        <v>185</v>
      </c>
      <c r="F852" s="2" t="s">
        <v>191</v>
      </c>
      <c r="G852" s="2" t="s">
        <v>202</v>
      </c>
      <c r="H852" s="2">
        <v>3</v>
      </c>
      <c r="I852" s="5">
        <v>114000</v>
      </c>
      <c r="J852" s="10">
        <v>0.15</v>
      </c>
      <c r="K852" s="7">
        <v>19454.900000000001</v>
      </c>
      <c r="L852" t="b">
        <f t="shared" si="13"/>
        <v>0</v>
      </c>
    </row>
    <row r="853" spans="1:12">
      <c r="A853" s="2">
        <v>100851</v>
      </c>
      <c r="B853" s="14">
        <v>45809</v>
      </c>
      <c r="C853" s="2" t="s">
        <v>36</v>
      </c>
      <c r="D853" s="2" t="s">
        <v>168</v>
      </c>
      <c r="E853" s="2" t="s">
        <v>185</v>
      </c>
      <c r="F853" s="2" t="s">
        <v>192</v>
      </c>
      <c r="G853" s="2" t="s">
        <v>205</v>
      </c>
      <c r="H853" s="2">
        <v>1</v>
      </c>
      <c r="I853" s="5">
        <v>4500</v>
      </c>
      <c r="J853" s="10">
        <v>0.15</v>
      </c>
      <c r="K853" s="7">
        <v>476.7</v>
      </c>
      <c r="L853" t="b">
        <f t="shared" si="13"/>
        <v>0</v>
      </c>
    </row>
    <row r="854" spans="1:12">
      <c r="A854" s="2">
        <v>100852</v>
      </c>
      <c r="B854" s="14">
        <v>45979</v>
      </c>
      <c r="C854" s="2" t="s">
        <v>136</v>
      </c>
      <c r="D854" s="2" t="s">
        <v>165</v>
      </c>
      <c r="E854" s="2" t="s">
        <v>181</v>
      </c>
      <c r="F854" s="2" t="s">
        <v>191</v>
      </c>
      <c r="G854" s="2" t="s">
        <v>197</v>
      </c>
      <c r="H854" s="2">
        <v>4</v>
      </c>
      <c r="I854" s="5">
        <v>232000</v>
      </c>
      <c r="J854" s="10">
        <v>0.1</v>
      </c>
      <c r="K854" s="7">
        <v>26517.18</v>
      </c>
      <c r="L854" t="b">
        <f t="shared" si="13"/>
        <v>0</v>
      </c>
    </row>
    <row r="855" spans="1:12">
      <c r="A855" s="2">
        <v>100853</v>
      </c>
      <c r="B855" s="14">
        <v>45877</v>
      </c>
      <c r="C855" s="2" t="s">
        <v>144</v>
      </c>
      <c r="D855" s="2" t="s">
        <v>177</v>
      </c>
      <c r="E855" s="2" t="s">
        <v>187</v>
      </c>
      <c r="F855" s="2" t="s">
        <v>191</v>
      </c>
      <c r="G855" s="2" t="s">
        <v>209</v>
      </c>
      <c r="H855" s="2">
        <v>4</v>
      </c>
      <c r="I855" s="5">
        <v>104000</v>
      </c>
      <c r="J855" s="10">
        <v>0.05</v>
      </c>
      <c r="K855" s="7">
        <v>16888.419999999998</v>
      </c>
      <c r="L855" t="b">
        <f t="shared" si="13"/>
        <v>0</v>
      </c>
    </row>
    <row r="856" spans="1:12">
      <c r="A856" s="2">
        <v>100854</v>
      </c>
      <c r="B856" s="14">
        <v>45732</v>
      </c>
      <c r="C856" s="2" t="s">
        <v>14</v>
      </c>
      <c r="D856" s="2" t="s">
        <v>165</v>
      </c>
      <c r="E856" s="2" t="s">
        <v>187</v>
      </c>
      <c r="F856" s="2" t="s">
        <v>191</v>
      </c>
      <c r="G856" s="2" t="s">
        <v>197</v>
      </c>
      <c r="H856" s="2">
        <v>1</v>
      </c>
      <c r="I856" s="5">
        <v>58000</v>
      </c>
      <c r="J856" s="10">
        <v>0.05</v>
      </c>
      <c r="K856" s="7">
        <v>9793.69</v>
      </c>
      <c r="L856" t="b">
        <f t="shared" si="13"/>
        <v>0</v>
      </c>
    </row>
    <row r="857" spans="1:12">
      <c r="A857" s="2">
        <v>100855</v>
      </c>
      <c r="B857" s="14">
        <v>45748</v>
      </c>
      <c r="C857" s="2" t="s">
        <v>93</v>
      </c>
      <c r="D857" s="2" t="s">
        <v>177</v>
      </c>
      <c r="E857" s="2" t="s">
        <v>187</v>
      </c>
      <c r="F857" s="2" t="s">
        <v>190</v>
      </c>
      <c r="G857" s="2" t="s">
        <v>201</v>
      </c>
      <c r="H857" s="2">
        <v>2</v>
      </c>
      <c r="I857" s="5">
        <v>3000</v>
      </c>
      <c r="J857" s="10">
        <v>0.05</v>
      </c>
      <c r="K857" s="7">
        <v>661.17</v>
      </c>
      <c r="L857" t="b">
        <f t="shared" si="13"/>
        <v>0</v>
      </c>
    </row>
    <row r="858" spans="1:12">
      <c r="A858" s="2">
        <v>100856</v>
      </c>
      <c r="B858" s="14">
        <v>45669</v>
      </c>
      <c r="C858" s="2" t="s">
        <v>120</v>
      </c>
      <c r="D858" s="2" t="s">
        <v>175</v>
      </c>
      <c r="E858" s="2" t="s">
        <v>181</v>
      </c>
      <c r="F858" s="2" t="s">
        <v>190</v>
      </c>
      <c r="G858" s="2" t="s">
        <v>199</v>
      </c>
      <c r="H858" s="2">
        <v>3</v>
      </c>
      <c r="I858" s="5">
        <v>5400</v>
      </c>
      <c r="J858" s="10">
        <v>0.1</v>
      </c>
      <c r="K858" s="7">
        <v>1074.77</v>
      </c>
      <c r="L858" t="b">
        <f t="shared" si="13"/>
        <v>0</v>
      </c>
    </row>
    <row r="859" spans="1:12">
      <c r="A859" s="2">
        <v>100857</v>
      </c>
      <c r="B859" s="14">
        <v>45791</v>
      </c>
      <c r="C859" s="2" t="s">
        <v>26</v>
      </c>
      <c r="D859" s="2" t="s">
        <v>166</v>
      </c>
      <c r="E859" s="2" t="s">
        <v>185</v>
      </c>
      <c r="F859" s="2" t="s">
        <v>191</v>
      </c>
      <c r="G859" s="2" t="s">
        <v>209</v>
      </c>
      <c r="H859" s="2">
        <v>3</v>
      </c>
      <c r="I859" s="5">
        <v>78000</v>
      </c>
      <c r="J859" s="10">
        <v>0.15</v>
      </c>
      <c r="K859" s="7">
        <v>12120.98</v>
      </c>
      <c r="L859" t="b">
        <f t="shared" si="13"/>
        <v>0</v>
      </c>
    </row>
    <row r="860" spans="1:12">
      <c r="A860" s="2">
        <v>100858</v>
      </c>
      <c r="B860" s="14">
        <v>45775</v>
      </c>
      <c r="C860" s="2" t="s">
        <v>66</v>
      </c>
      <c r="D860" s="2" t="s">
        <v>177</v>
      </c>
      <c r="E860" s="2" t="s">
        <v>181</v>
      </c>
      <c r="F860" s="2" t="s">
        <v>191</v>
      </c>
      <c r="G860" s="2" t="s">
        <v>202</v>
      </c>
      <c r="H860" s="2">
        <v>4</v>
      </c>
      <c r="I860" s="5">
        <v>152000</v>
      </c>
      <c r="J860" s="10">
        <v>0.1</v>
      </c>
      <c r="K860" s="7">
        <v>20837.189999999999</v>
      </c>
      <c r="L860" t="b">
        <f t="shared" si="13"/>
        <v>0</v>
      </c>
    </row>
    <row r="861" spans="1:12">
      <c r="A861" s="2">
        <v>100859</v>
      </c>
      <c r="B861" s="14">
        <v>45751</v>
      </c>
      <c r="C861" s="2" t="s">
        <v>77</v>
      </c>
      <c r="D861" s="2" t="s">
        <v>165</v>
      </c>
      <c r="E861" s="2" t="s">
        <v>183</v>
      </c>
      <c r="F861" s="2" t="s">
        <v>189</v>
      </c>
      <c r="G861" s="2" t="s">
        <v>198</v>
      </c>
      <c r="H861" s="2">
        <v>2</v>
      </c>
      <c r="I861" s="5">
        <v>90000</v>
      </c>
      <c r="J861" s="10">
        <v>0.05</v>
      </c>
      <c r="K861" s="7">
        <v>19791.45</v>
      </c>
      <c r="L861" t="b">
        <f t="shared" si="13"/>
        <v>0</v>
      </c>
    </row>
    <row r="862" spans="1:12">
      <c r="A862" s="2">
        <v>100860</v>
      </c>
      <c r="B862" s="14">
        <v>45719</v>
      </c>
      <c r="C862" s="2" t="s">
        <v>158</v>
      </c>
      <c r="D862" s="2" t="s">
        <v>167</v>
      </c>
      <c r="E862" s="2" t="s">
        <v>183</v>
      </c>
      <c r="F862" s="2" t="s">
        <v>190</v>
      </c>
      <c r="G862" s="2" t="s">
        <v>201</v>
      </c>
      <c r="H862" s="2">
        <v>1</v>
      </c>
      <c r="I862" s="5">
        <v>1500</v>
      </c>
      <c r="J862" s="10">
        <v>0.1</v>
      </c>
      <c r="K862" s="7">
        <v>222.65</v>
      </c>
      <c r="L862" t="b">
        <f t="shared" si="13"/>
        <v>0</v>
      </c>
    </row>
    <row r="863" spans="1:12">
      <c r="A863" s="2">
        <v>100861</v>
      </c>
      <c r="B863" s="14">
        <v>45851</v>
      </c>
      <c r="C863" s="2" t="s">
        <v>27</v>
      </c>
      <c r="D863" s="2" t="s">
        <v>174</v>
      </c>
      <c r="E863" s="2" t="s">
        <v>181</v>
      </c>
      <c r="F863" s="2" t="s">
        <v>190</v>
      </c>
      <c r="G863" s="2" t="s">
        <v>195</v>
      </c>
      <c r="H863" s="2">
        <v>4</v>
      </c>
      <c r="I863" s="5">
        <v>3200</v>
      </c>
      <c r="J863" s="10">
        <v>0.1</v>
      </c>
      <c r="K863" s="7">
        <v>433.49</v>
      </c>
      <c r="L863" t="b">
        <f t="shared" si="13"/>
        <v>0</v>
      </c>
    </row>
    <row r="864" spans="1:12">
      <c r="A864" s="2">
        <v>100862</v>
      </c>
      <c r="B864" s="14">
        <v>45669</v>
      </c>
      <c r="C864" s="2" t="s">
        <v>137</v>
      </c>
      <c r="D864" s="2" t="s">
        <v>177</v>
      </c>
      <c r="E864" s="2" t="s">
        <v>187</v>
      </c>
      <c r="F864" s="2" t="s">
        <v>190</v>
      </c>
      <c r="G864" s="2" t="s">
        <v>199</v>
      </c>
      <c r="H864" s="2">
        <v>4</v>
      </c>
      <c r="I864" s="5">
        <v>7200</v>
      </c>
      <c r="J864" s="10">
        <v>0.2</v>
      </c>
      <c r="K864" s="7">
        <v>1310.85</v>
      </c>
      <c r="L864" t="b">
        <f t="shared" si="13"/>
        <v>0</v>
      </c>
    </row>
    <row r="865" spans="1:12">
      <c r="A865" s="2">
        <v>100863</v>
      </c>
      <c r="B865" s="14">
        <v>45860</v>
      </c>
      <c r="C865" s="2" t="s">
        <v>24</v>
      </c>
      <c r="D865" s="2" t="s">
        <v>166</v>
      </c>
      <c r="E865" s="2" t="s">
        <v>186</v>
      </c>
      <c r="F865" s="2" t="s">
        <v>191</v>
      </c>
      <c r="G865" s="2" t="s">
        <v>209</v>
      </c>
      <c r="H865" s="2">
        <v>1</v>
      </c>
      <c r="I865" s="5">
        <v>26000</v>
      </c>
      <c r="J865" s="10">
        <v>0.1</v>
      </c>
      <c r="K865" s="7">
        <v>3541.62</v>
      </c>
      <c r="L865" t="b">
        <f t="shared" si="13"/>
        <v>0</v>
      </c>
    </row>
    <row r="866" spans="1:12">
      <c r="A866" s="2">
        <v>100864</v>
      </c>
      <c r="B866" s="14">
        <v>45683</v>
      </c>
      <c r="C866" s="2" t="s">
        <v>57</v>
      </c>
      <c r="D866" s="2" t="s">
        <v>173</v>
      </c>
      <c r="E866" s="2" t="s">
        <v>185</v>
      </c>
      <c r="F866" s="2" t="s">
        <v>192</v>
      </c>
      <c r="G866" s="2" t="s">
        <v>207</v>
      </c>
      <c r="H866" s="2">
        <v>3</v>
      </c>
      <c r="I866" s="5">
        <v>5400</v>
      </c>
      <c r="J866" s="10">
        <v>0.15</v>
      </c>
      <c r="K866" s="7">
        <v>662.46</v>
      </c>
      <c r="L866" t="b">
        <f t="shared" si="13"/>
        <v>0</v>
      </c>
    </row>
    <row r="867" spans="1:12">
      <c r="A867" s="2">
        <v>100865</v>
      </c>
      <c r="B867" s="14">
        <v>45830</v>
      </c>
      <c r="C867" s="2" t="s">
        <v>92</v>
      </c>
      <c r="D867" s="2" t="s">
        <v>165</v>
      </c>
      <c r="E867" s="2" t="s">
        <v>181</v>
      </c>
      <c r="F867" s="2" t="s">
        <v>190</v>
      </c>
      <c r="G867" s="2" t="s">
        <v>201</v>
      </c>
      <c r="H867" s="2">
        <v>3</v>
      </c>
      <c r="I867" s="5">
        <v>4500</v>
      </c>
      <c r="J867" s="10">
        <v>0.2</v>
      </c>
      <c r="K867" s="7">
        <v>627.34</v>
      </c>
      <c r="L867" t="b">
        <f t="shared" si="13"/>
        <v>0</v>
      </c>
    </row>
    <row r="868" spans="1:12">
      <c r="A868" s="2">
        <v>100866</v>
      </c>
      <c r="B868" s="14">
        <v>45957</v>
      </c>
      <c r="C868" s="2" t="s">
        <v>55</v>
      </c>
      <c r="D868" s="2" t="s">
        <v>172</v>
      </c>
      <c r="E868" s="2" t="s">
        <v>181</v>
      </c>
      <c r="F868" s="2" t="s">
        <v>191</v>
      </c>
      <c r="G868" s="2" t="s">
        <v>200</v>
      </c>
      <c r="H868" s="2">
        <v>2</v>
      </c>
      <c r="I868" s="5">
        <v>56000</v>
      </c>
      <c r="J868" s="10">
        <v>0.15</v>
      </c>
      <c r="K868" s="7">
        <v>11313.99</v>
      </c>
      <c r="L868" t="b">
        <f t="shared" si="13"/>
        <v>0</v>
      </c>
    </row>
    <row r="869" spans="1:12">
      <c r="A869" s="2">
        <v>100867</v>
      </c>
      <c r="B869" s="14">
        <v>45790</v>
      </c>
      <c r="C869" s="2" t="s">
        <v>59</v>
      </c>
      <c r="D869" s="2" t="s">
        <v>165</v>
      </c>
      <c r="E869" s="2" t="s">
        <v>181</v>
      </c>
      <c r="F869" s="2" t="s">
        <v>189</v>
      </c>
      <c r="G869" s="2" t="s">
        <v>196</v>
      </c>
      <c r="H869" s="2">
        <v>1</v>
      </c>
      <c r="I869" s="5">
        <v>55000</v>
      </c>
      <c r="J869" s="10">
        <v>0.1</v>
      </c>
      <c r="K869" s="7">
        <v>6627.26</v>
      </c>
      <c r="L869" t="b">
        <f t="shared" si="13"/>
        <v>0</v>
      </c>
    </row>
    <row r="870" spans="1:12">
      <c r="A870" s="2">
        <v>100868</v>
      </c>
      <c r="B870" s="14">
        <v>45983</v>
      </c>
      <c r="C870" s="2" t="s">
        <v>12</v>
      </c>
      <c r="D870" s="2" t="s">
        <v>165</v>
      </c>
      <c r="E870" s="2" t="s">
        <v>186</v>
      </c>
      <c r="F870" s="2" t="s">
        <v>190</v>
      </c>
      <c r="G870" s="2" t="s">
        <v>199</v>
      </c>
      <c r="H870" s="2">
        <v>4</v>
      </c>
      <c r="I870" s="5">
        <v>7200</v>
      </c>
      <c r="J870" s="10">
        <v>0.1</v>
      </c>
      <c r="K870" s="7">
        <v>1028.3399999999999</v>
      </c>
      <c r="L870" t="b">
        <f t="shared" si="13"/>
        <v>0</v>
      </c>
    </row>
    <row r="871" spans="1:12">
      <c r="A871" s="2">
        <v>100869</v>
      </c>
      <c r="B871" s="14">
        <v>45775</v>
      </c>
      <c r="C871" s="2" t="s">
        <v>44</v>
      </c>
      <c r="D871" s="2" t="s">
        <v>165</v>
      </c>
      <c r="E871" s="2" t="s">
        <v>186</v>
      </c>
      <c r="F871" s="2" t="s">
        <v>189</v>
      </c>
      <c r="G871" s="2" t="s">
        <v>206</v>
      </c>
      <c r="H871" s="2">
        <v>3</v>
      </c>
      <c r="I871" s="5">
        <v>150000</v>
      </c>
      <c r="J871" s="10">
        <v>0.1</v>
      </c>
      <c r="K871" s="7">
        <v>32272.42</v>
      </c>
      <c r="L871" t="b">
        <f t="shared" si="13"/>
        <v>0</v>
      </c>
    </row>
    <row r="872" spans="1:12">
      <c r="A872" s="2">
        <v>100870</v>
      </c>
      <c r="B872" s="14">
        <v>45981</v>
      </c>
      <c r="C872" s="2" t="s">
        <v>144</v>
      </c>
      <c r="D872" s="2" t="s">
        <v>177</v>
      </c>
      <c r="E872" s="2" t="s">
        <v>188</v>
      </c>
      <c r="F872" s="2" t="s">
        <v>190</v>
      </c>
      <c r="G872" s="2" t="s">
        <v>204</v>
      </c>
      <c r="H872" s="2">
        <v>3</v>
      </c>
      <c r="I872" s="5">
        <v>1500</v>
      </c>
      <c r="J872" s="10">
        <v>0.15</v>
      </c>
      <c r="K872" s="7">
        <v>207.08</v>
      </c>
      <c r="L872" t="b">
        <f t="shared" si="13"/>
        <v>0</v>
      </c>
    </row>
    <row r="873" spans="1:12">
      <c r="A873" s="2">
        <v>100871</v>
      </c>
      <c r="B873" s="14">
        <v>45698</v>
      </c>
      <c r="C873" s="2" t="s">
        <v>33</v>
      </c>
      <c r="D873" s="2" t="s">
        <v>175</v>
      </c>
      <c r="E873" s="2" t="s">
        <v>183</v>
      </c>
      <c r="F873" s="2" t="s">
        <v>191</v>
      </c>
      <c r="G873" s="2" t="s">
        <v>202</v>
      </c>
      <c r="H873" s="2">
        <v>2</v>
      </c>
      <c r="I873" s="5">
        <v>76000</v>
      </c>
      <c r="J873" s="10">
        <v>0.05</v>
      </c>
      <c r="K873" s="7">
        <v>9065.15</v>
      </c>
      <c r="L873" t="b">
        <f t="shared" si="13"/>
        <v>0</v>
      </c>
    </row>
    <row r="874" spans="1:12">
      <c r="A874" s="2">
        <v>100872</v>
      </c>
      <c r="B874" s="14">
        <v>45869</v>
      </c>
      <c r="C874" s="2" t="s">
        <v>158</v>
      </c>
      <c r="D874" s="2" t="s">
        <v>167</v>
      </c>
      <c r="E874" s="2" t="s">
        <v>184</v>
      </c>
      <c r="F874" s="2" t="s">
        <v>189</v>
      </c>
      <c r="G874" s="2" t="s">
        <v>193</v>
      </c>
      <c r="H874" s="2">
        <v>2</v>
      </c>
      <c r="I874" s="5">
        <v>170000</v>
      </c>
      <c r="J874" s="10">
        <v>0.05</v>
      </c>
      <c r="K874" s="7">
        <v>22988.55</v>
      </c>
      <c r="L874" t="b">
        <f t="shared" si="13"/>
        <v>0</v>
      </c>
    </row>
    <row r="875" spans="1:12">
      <c r="A875" s="2">
        <v>100873</v>
      </c>
      <c r="B875" s="14">
        <v>45882</v>
      </c>
      <c r="C875" s="2" t="s">
        <v>29</v>
      </c>
      <c r="D875" s="2" t="s">
        <v>169</v>
      </c>
      <c r="E875" s="2" t="s">
        <v>187</v>
      </c>
      <c r="F875" s="2" t="s">
        <v>189</v>
      </c>
      <c r="G875" s="2" t="s">
        <v>196</v>
      </c>
      <c r="H875" s="2">
        <v>1</v>
      </c>
      <c r="I875" s="5">
        <v>55000</v>
      </c>
      <c r="J875" s="10">
        <v>0.05</v>
      </c>
      <c r="K875" s="7">
        <v>7214.17</v>
      </c>
      <c r="L875" t="b">
        <f t="shared" si="13"/>
        <v>0</v>
      </c>
    </row>
    <row r="876" spans="1:12">
      <c r="A876" s="2">
        <v>100874</v>
      </c>
      <c r="B876" s="14">
        <v>45677</v>
      </c>
      <c r="C876" s="2" t="s">
        <v>135</v>
      </c>
      <c r="D876" s="2" t="s">
        <v>177</v>
      </c>
      <c r="E876" s="2" t="s">
        <v>182</v>
      </c>
      <c r="F876" s="2" t="s">
        <v>190</v>
      </c>
      <c r="G876" s="2" t="s">
        <v>201</v>
      </c>
      <c r="H876" s="2">
        <v>2</v>
      </c>
      <c r="I876" s="5">
        <v>3000</v>
      </c>
      <c r="J876" s="10">
        <v>0.2</v>
      </c>
      <c r="K876" s="7">
        <v>354.23</v>
      </c>
      <c r="L876" t="b">
        <f t="shared" si="13"/>
        <v>0</v>
      </c>
    </row>
    <row r="877" spans="1:12">
      <c r="A877" s="2">
        <v>100875</v>
      </c>
      <c r="B877" s="14">
        <v>45770</v>
      </c>
      <c r="C877" s="2" t="s">
        <v>123</v>
      </c>
      <c r="D877" s="2" t="s">
        <v>167</v>
      </c>
      <c r="E877" s="2" t="s">
        <v>186</v>
      </c>
      <c r="F877" s="2" t="s">
        <v>192</v>
      </c>
      <c r="G877" s="2" t="s">
        <v>203</v>
      </c>
      <c r="H877" s="2">
        <v>4</v>
      </c>
      <c r="I877" s="5">
        <v>8000</v>
      </c>
      <c r="J877" s="10">
        <v>0.1</v>
      </c>
      <c r="K877" s="7">
        <v>1334.31</v>
      </c>
      <c r="L877" t="b">
        <f t="shared" si="13"/>
        <v>0</v>
      </c>
    </row>
    <row r="878" spans="1:12">
      <c r="A878" s="2">
        <v>100876</v>
      </c>
      <c r="B878" s="14">
        <v>45797</v>
      </c>
      <c r="C878" s="2" t="s">
        <v>84</v>
      </c>
      <c r="D878" s="2" t="s">
        <v>165</v>
      </c>
      <c r="E878" s="2" t="s">
        <v>184</v>
      </c>
      <c r="F878" s="2" t="s">
        <v>189</v>
      </c>
      <c r="G878" s="2" t="s">
        <v>206</v>
      </c>
      <c r="H878" s="2">
        <v>3</v>
      </c>
      <c r="I878" s="5">
        <v>150000</v>
      </c>
      <c r="J878" s="10">
        <v>0.15</v>
      </c>
      <c r="K878" s="7">
        <v>31556.66</v>
      </c>
      <c r="L878" t="b">
        <f t="shared" si="13"/>
        <v>0</v>
      </c>
    </row>
    <row r="879" spans="1:12">
      <c r="A879" s="2">
        <v>100877</v>
      </c>
      <c r="B879" s="14">
        <v>45704</v>
      </c>
      <c r="C879" s="2" t="s">
        <v>105</v>
      </c>
      <c r="D879" s="2" t="s">
        <v>165</v>
      </c>
      <c r="E879" s="2" t="s">
        <v>186</v>
      </c>
      <c r="F879" s="2" t="s">
        <v>189</v>
      </c>
      <c r="G879" s="2" t="s">
        <v>198</v>
      </c>
      <c r="H879" s="2">
        <v>3</v>
      </c>
      <c r="I879" s="5">
        <v>135000</v>
      </c>
      <c r="J879" s="10">
        <v>0.1</v>
      </c>
      <c r="K879" s="7">
        <v>20535.57</v>
      </c>
      <c r="L879" t="b">
        <f t="shared" si="13"/>
        <v>0</v>
      </c>
    </row>
    <row r="880" spans="1:12">
      <c r="A880" s="2">
        <v>100878</v>
      </c>
      <c r="B880" s="14">
        <v>45658</v>
      </c>
      <c r="C880" s="2" t="s">
        <v>57</v>
      </c>
      <c r="D880" s="2" t="s">
        <v>173</v>
      </c>
      <c r="E880" s="2" t="s">
        <v>187</v>
      </c>
      <c r="F880" s="2" t="s">
        <v>192</v>
      </c>
      <c r="G880" s="2" t="s">
        <v>205</v>
      </c>
      <c r="H880" s="2">
        <v>2</v>
      </c>
      <c r="I880" s="5">
        <v>9000</v>
      </c>
      <c r="J880" s="10">
        <v>0.2</v>
      </c>
      <c r="K880" s="7">
        <v>1013.65</v>
      </c>
      <c r="L880" t="b">
        <f t="shared" si="13"/>
        <v>0</v>
      </c>
    </row>
    <row r="881" spans="1:12">
      <c r="A881" s="2">
        <v>100879</v>
      </c>
      <c r="B881" s="14">
        <v>45747</v>
      </c>
      <c r="C881" s="2" t="s">
        <v>151</v>
      </c>
      <c r="D881" s="2" t="s">
        <v>176</v>
      </c>
      <c r="E881" s="2" t="s">
        <v>182</v>
      </c>
      <c r="F881" s="2" t="s">
        <v>190</v>
      </c>
      <c r="G881" s="2" t="s">
        <v>199</v>
      </c>
      <c r="H881" s="2">
        <v>2</v>
      </c>
      <c r="I881" s="5">
        <v>3600</v>
      </c>
      <c r="J881" s="10">
        <v>0.1</v>
      </c>
      <c r="K881" s="7">
        <v>519.5</v>
      </c>
      <c r="L881" t="b">
        <f t="shared" si="13"/>
        <v>0</v>
      </c>
    </row>
    <row r="882" spans="1:12">
      <c r="A882" s="2">
        <v>100880</v>
      </c>
      <c r="B882" s="14">
        <v>45799</v>
      </c>
      <c r="C882" s="2" t="s">
        <v>15</v>
      </c>
      <c r="D882" s="2" t="s">
        <v>167</v>
      </c>
      <c r="E882" s="2" t="s">
        <v>188</v>
      </c>
      <c r="F882" s="2" t="s">
        <v>189</v>
      </c>
      <c r="G882" s="2" t="s">
        <v>198</v>
      </c>
      <c r="H882" s="2">
        <v>2</v>
      </c>
      <c r="I882" s="5">
        <v>90000</v>
      </c>
      <c r="J882" s="10">
        <v>0.1</v>
      </c>
      <c r="K882" s="7">
        <v>17506.61</v>
      </c>
      <c r="L882" t="b">
        <f t="shared" si="13"/>
        <v>0</v>
      </c>
    </row>
    <row r="883" spans="1:12">
      <c r="A883" s="2">
        <v>100881</v>
      </c>
      <c r="B883" s="14">
        <v>45977</v>
      </c>
      <c r="C883" s="2" t="s">
        <v>58</v>
      </c>
      <c r="D883" s="2" t="s">
        <v>178</v>
      </c>
      <c r="E883" s="2" t="s">
        <v>181</v>
      </c>
      <c r="F883" s="2" t="s">
        <v>192</v>
      </c>
      <c r="G883" s="2" t="s">
        <v>203</v>
      </c>
      <c r="H883" s="2">
        <v>2</v>
      </c>
      <c r="I883" s="5">
        <v>4000</v>
      </c>
      <c r="J883" s="10">
        <v>0.15</v>
      </c>
      <c r="K883" s="7">
        <v>649.79</v>
      </c>
      <c r="L883" t="b">
        <f t="shared" si="13"/>
        <v>0</v>
      </c>
    </row>
    <row r="884" spans="1:12">
      <c r="A884" s="2">
        <v>100882</v>
      </c>
      <c r="B884" s="14">
        <v>45840</v>
      </c>
      <c r="C884" s="2" t="s">
        <v>160</v>
      </c>
      <c r="D884" s="2" t="s">
        <v>172</v>
      </c>
      <c r="E884" s="2" t="s">
        <v>188</v>
      </c>
      <c r="F884" s="2" t="s">
        <v>191</v>
      </c>
      <c r="G884" s="2" t="s">
        <v>202</v>
      </c>
      <c r="H884" s="2">
        <v>2</v>
      </c>
      <c r="I884" s="5">
        <v>76000</v>
      </c>
      <c r="J884" s="10">
        <v>0.1</v>
      </c>
      <c r="K884" s="7">
        <v>11884.99</v>
      </c>
      <c r="L884" t="b">
        <f t="shared" si="13"/>
        <v>0</v>
      </c>
    </row>
    <row r="885" spans="1:12">
      <c r="A885" s="2">
        <v>100883</v>
      </c>
      <c r="B885" s="14">
        <v>45950</v>
      </c>
      <c r="C885" s="2" t="s">
        <v>81</v>
      </c>
      <c r="D885" s="2" t="s">
        <v>177</v>
      </c>
      <c r="E885" s="2" t="s">
        <v>186</v>
      </c>
      <c r="F885" s="2" t="s">
        <v>190</v>
      </c>
      <c r="G885" s="2" t="s">
        <v>195</v>
      </c>
      <c r="H885" s="2">
        <v>2</v>
      </c>
      <c r="I885" s="5">
        <v>1600</v>
      </c>
      <c r="J885" s="10">
        <v>0.05</v>
      </c>
      <c r="K885" s="7">
        <v>371.24</v>
      </c>
      <c r="L885" t="b">
        <f t="shared" si="13"/>
        <v>0</v>
      </c>
    </row>
    <row r="886" spans="1:12">
      <c r="A886" s="2">
        <v>100884</v>
      </c>
      <c r="B886" s="14">
        <v>45796</v>
      </c>
      <c r="C886" s="2" t="s">
        <v>39</v>
      </c>
      <c r="D886" s="2" t="s">
        <v>174</v>
      </c>
      <c r="E886" s="2" t="s">
        <v>188</v>
      </c>
      <c r="F886" s="2" t="s">
        <v>192</v>
      </c>
      <c r="G886" s="2" t="s">
        <v>208</v>
      </c>
      <c r="H886" s="2">
        <v>2</v>
      </c>
      <c r="I886" s="5">
        <v>6400</v>
      </c>
      <c r="J886" s="10">
        <v>0.05</v>
      </c>
      <c r="K886" s="7">
        <v>763.67</v>
      </c>
      <c r="L886" t="b">
        <f t="shared" si="13"/>
        <v>0</v>
      </c>
    </row>
    <row r="887" spans="1:12">
      <c r="A887" s="2">
        <v>100885</v>
      </c>
      <c r="B887" s="14">
        <v>46013</v>
      </c>
      <c r="C887" s="2" t="s">
        <v>121</v>
      </c>
      <c r="D887" s="2" t="s">
        <v>170</v>
      </c>
      <c r="E887" s="2" t="s">
        <v>184</v>
      </c>
      <c r="F887" s="2" t="s">
        <v>189</v>
      </c>
      <c r="G887" s="2" t="s">
        <v>196</v>
      </c>
      <c r="H887" s="2">
        <v>1</v>
      </c>
      <c r="I887" s="5">
        <v>55000</v>
      </c>
      <c r="J887" s="10">
        <v>0.05</v>
      </c>
      <c r="K887" s="7">
        <v>7229.09</v>
      </c>
      <c r="L887" t="b">
        <f t="shared" si="13"/>
        <v>0</v>
      </c>
    </row>
    <row r="888" spans="1:12">
      <c r="A888" s="2">
        <v>100886</v>
      </c>
      <c r="B888" s="14">
        <v>45990</v>
      </c>
      <c r="C888" s="2" t="s">
        <v>107</v>
      </c>
      <c r="D888" s="2" t="s">
        <v>171</v>
      </c>
      <c r="E888" s="2" t="s">
        <v>185</v>
      </c>
      <c r="F888" s="2" t="s">
        <v>190</v>
      </c>
      <c r="G888" s="2" t="s">
        <v>199</v>
      </c>
      <c r="H888" s="2">
        <v>1</v>
      </c>
      <c r="I888" s="5">
        <v>1800</v>
      </c>
      <c r="J888" s="10">
        <v>0.2</v>
      </c>
      <c r="K888" s="7">
        <v>356.49</v>
      </c>
      <c r="L888" t="b">
        <f t="shared" si="13"/>
        <v>0</v>
      </c>
    </row>
    <row r="889" spans="1:12">
      <c r="A889" s="2">
        <v>100887</v>
      </c>
      <c r="B889" s="14">
        <v>45916</v>
      </c>
      <c r="C889" s="2" t="s">
        <v>150</v>
      </c>
      <c r="D889" s="2" t="s">
        <v>176</v>
      </c>
      <c r="E889" s="2" t="s">
        <v>186</v>
      </c>
      <c r="F889" s="2" t="s">
        <v>190</v>
      </c>
      <c r="G889" s="2" t="s">
        <v>204</v>
      </c>
      <c r="H889" s="2">
        <v>2</v>
      </c>
      <c r="I889" s="5">
        <v>1000</v>
      </c>
      <c r="J889" s="10">
        <v>0.05</v>
      </c>
      <c r="K889" s="7">
        <v>156.31</v>
      </c>
      <c r="L889" t="b">
        <f t="shared" si="13"/>
        <v>0</v>
      </c>
    </row>
    <row r="890" spans="1:12">
      <c r="A890" s="2">
        <v>100888</v>
      </c>
      <c r="B890" s="14">
        <v>45936</v>
      </c>
      <c r="C890" s="2" t="s">
        <v>86</v>
      </c>
      <c r="D890" s="2" t="s">
        <v>168</v>
      </c>
      <c r="E890" s="2" t="s">
        <v>186</v>
      </c>
      <c r="F890" s="2" t="s">
        <v>190</v>
      </c>
      <c r="G890" s="2" t="s">
        <v>195</v>
      </c>
      <c r="H890" s="2">
        <v>3</v>
      </c>
      <c r="I890" s="5">
        <v>2400</v>
      </c>
      <c r="J890" s="10">
        <v>0.05</v>
      </c>
      <c r="K890" s="7">
        <v>316.88</v>
      </c>
      <c r="L890" t="b">
        <f t="shared" si="13"/>
        <v>0</v>
      </c>
    </row>
    <row r="891" spans="1:12">
      <c r="A891" s="2">
        <v>100889</v>
      </c>
      <c r="B891" s="14">
        <v>45835</v>
      </c>
      <c r="C891" s="2" t="s">
        <v>25</v>
      </c>
      <c r="D891" s="2" t="s">
        <v>166</v>
      </c>
      <c r="E891" s="2" t="s">
        <v>184</v>
      </c>
      <c r="F891" s="2" t="s">
        <v>189</v>
      </c>
      <c r="G891" s="2" t="s">
        <v>206</v>
      </c>
      <c r="H891" s="2">
        <v>3</v>
      </c>
      <c r="I891" s="5">
        <v>150000</v>
      </c>
      <c r="J891" s="10">
        <v>0.15</v>
      </c>
      <c r="K891" s="7">
        <v>30009.8</v>
      </c>
      <c r="L891" t="b">
        <f t="shared" si="13"/>
        <v>0</v>
      </c>
    </row>
    <row r="892" spans="1:12">
      <c r="A892" s="2">
        <v>100890</v>
      </c>
      <c r="B892" s="14">
        <v>45931</v>
      </c>
      <c r="C892" s="2" t="s">
        <v>139</v>
      </c>
      <c r="D892" s="2" t="s">
        <v>173</v>
      </c>
      <c r="E892" s="2" t="s">
        <v>183</v>
      </c>
      <c r="F892" s="2" t="s">
        <v>192</v>
      </c>
      <c r="G892" s="2" t="s">
        <v>208</v>
      </c>
      <c r="H892" s="2">
        <v>2</v>
      </c>
      <c r="I892" s="5">
        <v>6400</v>
      </c>
      <c r="J892" s="10">
        <v>0.15</v>
      </c>
      <c r="K892" s="7">
        <v>701.62</v>
      </c>
      <c r="L892" t="b">
        <f t="shared" si="13"/>
        <v>0</v>
      </c>
    </row>
    <row r="893" spans="1:12">
      <c r="A893" s="2">
        <v>100891</v>
      </c>
      <c r="B893" s="14">
        <v>45918</v>
      </c>
      <c r="C893" s="2" t="s">
        <v>161</v>
      </c>
      <c r="D893" s="2" t="s">
        <v>171</v>
      </c>
      <c r="E893" s="2" t="s">
        <v>182</v>
      </c>
      <c r="F893" s="2" t="s">
        <v>189</v>
      </c>
      <c r="G893" s="2" t="s">
        <v>193</v>
      </c>
      <c r="H893" s="2">
        <v>2</v>
      </c>
      <c r="I893" s="5">
        <v>170000</v>
      </c>
      <c r="J893" s="10">
        <v>0.2</v>
      </c>
      <c r="K893" s="7">
        <v>27558.21</v>
      </c>
      <c r="L893" t="b">
        <f t="shared" si="13"/>
        <v>0</v>
      </c>
    </row>
    <row r="894" spans="1:12">
      <c r="A894" s="2">
        <v>100892</v>
      </c>
      <c r="B894" s="14">
        <v>45795</v>
      </c>
      <c r="C894" s="2" t="s">
        <v>101</v>
      </c>
      <c r="D894" s="2" t="s">
        <v>178</v>
      </c>
      <c r="E894" s="2" t="s">
        <v>181</v>
      </c>
      <c r="F894" s="2" t="s">
        <v>190</v>
      </c>
      <c r="G894" s="2" t="s">
        <v>199</v>
      </c>
      <c r="H894" s="2">
        <v>3</v>
      </c>
      <c r="I894" s="5">
        <v>5400</v>
      </c>
      <c r="J894" s="10">
        <v>0.1</v>
      </c>
      <c r="K894" s="7">
        <v>960.05</v>
      </c>
      <c r="L894" t="b">
        <f t="shared" si="13"/>
        <v>0</v>
      </c>
    </row>
    <row r="895" spans="1:12">
      <c r="A895" s="2">
        <v>100893</v>
      </c>
      <c r="B895" s="14">
        <v>45829</v>
      </c>
      <c r="C895" s="2" t="s">
        <v>159</v>
      </c>
      <c r="D895" s="2" t="s">
        <v>167</v>
      </c>
      <c r="E895" s="2" t="s">
        <v>184</v>
      </c>
      <c r="F895" s="2" t="s">
        <v>192</v>
      </c>
      <c r="G895" s="2" t="s">
        <v>203</v>
      </c>
      <c r="H895" s="2">
        <v>2</v>
      </c>
      <c r="I895" s="5">
        <v>4000</v>
      </c>
      <c r="J895" s="10">
        <v>0.2</v>
      </c>
      <c r="K895" s="7">
        <v>439.02</v>
      </c>
      <c r="L895" t="b">
        <f t="shared" si="13"/>
        <v>0</v>
      </c>
    </row>
    <row r="896" spans="1:12">
      <c r="A896" s="2">
        <v>100894</v>
      </c>
      <c r="B896" s="14">
        <v>45670</v>
      </c>
      <c r="C896" s="2" t="s">
        <v>66</v>
      </c>
      <c r="D896" s="2" t="s">
        <v>177</v>
      </c>
      <c r="E896" s="2" t="s">
        <v>182</v>
      </c>
      <c r="F896" s="2" t="s">
        <v>191</v>
      </c>
      <c r="G896" s="2" t="s">
        <v>202</v>
      </c>
      <c r="H896" s="2">
        <v>3</v>
      </c>
      <c r="I896" s="5">
        <v>114000</v>
      </c>
      <c r="J896" s="10">
        <v>0.15</v>
      </c>
      <c r="K896" s="7">
        <v>15405.81</v>
      </c>
      <c r="L896" t="b">
        <f t="shared" si="13"/>
        <v>0</v>
      </c>
    </row>
    <row r="897" spans="1:12">
      <c r="A897" s="2">
        <v>100895</v>
      </c>
      <c r="B897" s="14">
        <v>45825</v>
      </c>
      <c r="C897" s="2" t="s">
        <v>19</v>
      </c>
      <c r="D897" s="2" t="s">
        <v>165</v>
      </c>
      <c r="E897" s="2" t="s">
        <v>187</v>
      </c>
      <c r="F897" s="2" t="s">
        <v>192</v>
      </c>
      <c r="G897" s="2" t="s">
        <v>207</v>
      </c>
      <c r="H897" s="2">
        <v>4</v>
      </c>
      <c r="I897" s="5">
        <v>7200</v>
      </c>
      <c r="J897" s="10">
        <v>0.2</v>
      </c>
      <c r="K897" s="7">
        <v>1212.42</v>
      </c>
      <c r="L897" t="b">
        <f t="shared" si="13"/>
        <v>0</v>
      </c>
    </row>
    <row r="898" spans="1:12">
      <c r="A898" s="2">
        <v>100896</v>
      </c>
      <c r="B898" s="14">
        <v>45935</v>
      </c>
      <c r="C898" s="2" t="s">
        <v>129</v>
      </c>
      <c r="D898" s="2" t="s">
        <v>169</v>
      </c>
      <c r="E898" s="2" t="s">
        <v>182</v>
      </c>
      <c r="F898" s="2" t="s">
        <v>190</v>
      </c>
      <c r="G898" s="2" t="s">
        <v>199</v>
      </c>
      <c r="H898" s="2">
        <v>3</v>
      </c>
      <c r="I898" s="5">
        <v>5400</v>
      </c>
      <c r="J898" s="10">
        <v>0.2</v>
      </c>
      <c r="K898" s="7">
        <v>633.02</v>
      </c>
      <c r="L898" t="b">
        <f t="shared" si="13"/>
        <v>0</v>
      </c>
    </row>
    <row r="899" spans="1:12">
      <c r="A899" s="2">
        <v>100897</v>
      </c>
      <c r="B899" s="14">
        <v>45741</v>
      </c>
      <c r="C899" s="2" t="s">
        <v>29</v>
      </c>
      <c r="D899" s="2" t="s">
        <v>169</v>
      </c>
      <c r="E899" s="2" t="s">
        <v>187</v>
      </c>
      <c r="F899" s="2" t="s">
        <v>191</v>
      </c>
      <c r="G899" s="2" t="s">
        <v>202</v>
      </c>
      <c r="H899" s="2">
        <v>2</v>
      </c>
      <c r="I899" s="5">
        <v>76000</v>
      </c>
      <c r="J899" s="10">
        <v>0.1</v>
      </c>
      <c r="K899" s="7">
        <v>9809.9699999999993</v>
      </c>
      <c r="L899" t="b">
        <f t="shared" ref="L899:L962" si="14">COUNTIF(A:A, A899) &gt; 1</f>
        <v>0</v>
      </c>
    </row>
    <row r="900" spans="1:12">
      <c r="A900" s="2">
        <v>100898</v>
      </c>
      <c r="B900" s="14">
        <v>45978</v>
      </c>
      <c r="C900" s="2" t="s">
        <v>76</v>
      </c>
      <c r="D900" s="2" t="s">
        <v>164</v>
      </c>
      <c r="E900" s="2" t="s">
        <v>184</v>
      </c>
      <c r="F900" s="2" t="s">
        <v>192</v>
      </c>
      <c r="G900" s="2" t="s">
        <v>205</v>
      </c>
      <c r="H900" s="2">
        <v>3</v>
      </c>
      <c r="I900" s="5">
        <v>13500</v>
      </c>
      <c r="J900" s="10">
        <v>0.05</v>
      </c>
      <c r="K900" s="7">
        <v>2110.75</v>
      </c>
      <c r="L900" t="b">
        <f t="shared" si="14"/>
        <v>0</v>
      </c>
    </row>
    <row r="901" spans="1:12">
      <c r="A901" s="2">
        <v>100899</v>
      </c>
      <c r="B901" s="14">
        <v>45976</v>
      </c>
      <c r="C901" s="2" t="s">
        <v>130</v>
      </c>
      <c r="D901" s="2" t="s">
        <v>164</v>
      </c>
      <c r="E901" s="2" t="s">
        <v>186</v>
      </c>
      <c r="F901" s="2" t="s">
        <v>190</v>
      </c>
      <c r="G901" s="2" t="s">
        <v>204</v>
      </c>
      <c r="H901" s="2">
        <v>2</v>
      </c>
      <c r="I901" s="5">
        <v>1000</v>
      </c>
      <c r="J901" s="10">
        <v>0.2</v>
      </c>
      <c r="K901" s="7">
        <v>167.76</v>
      </c>
      <c r="L901" t="b">
        <f t="shared" si="14"/>
        <v>0</v>
      </c>
    </row>
    <row r="902" spans="1:12">
      <c r="A902" s="2">
        <v>100900</v>
      </c>
      <c r="B902" s="14">
        <v>45965</v>
      </c>
      <c r="C902" s="2" t="s">
        <v>122</v>
      </c>
      <c r="D902" s="2" t="s">
        <v>175</v>
      </c>
      <c r="E902" s="2" t="s">
        <v>186</v>
      </c>
      <c r="F902" s="2" t="s">
        <v>189</v>
      </c>
      <c r="G902" s="2" t="s">
        <v>196</v>
      </c>
      <c r="H902" s="2">
        <v>2</v>
      </c>
      <c r="I902" s="5">
        <v>110000</v>
      </c>
      <c r="J902" s="10">
        <v>0.05</v>
      </c>
      <c r="K902" s="7">
        <v>20824.310000000001</v>
      </c>
      <c r="L902" t="b">
        <f t="shared" si="14"/>
        <v>0</v>
      </c>
    </row>
    <row r="903" spans="1:12">
      <c r="A903" s="2">
        <v>100901</v>
      </c>
      <c r="B903" s="14">
        <v>45986</v>
      </c>
      <c r="C903" s="2" t="s">
        <v>12</v>
      </c>
      <c r="D903" s="2" t="s">
        <v>165</v>
      </c>
      <c r="E903" s="2" t="s">
        <v>183</v>
      </c>
      <c r="F903" s="2" t="s">
        <v>190</v>
      </c>
      <c r="G903" s="2" t="s">
        <v>201</v>
      </c>
      <c r="H903" s="2">
        <v>2</v>
      </c>
      <c r="I903" s="5">
        <v>3000</v>
      </c>
      <c r="J903" s="10">
        <v>0.05</v>
      </c>
      <c r="K903" s="7">
        <v>371.86</v>
      </c>
      <c r="L903" t="b">
        <f t="shared" si="14"/>
        <v>0</v>
      </c>
    </row>
    <row r="904" spans="1:12">
      <c r="A904" s="2">
        <v>100902</v>
      </c>
      <c r="B904" s="14">
        <v>45930</v>
      </c>
      <c r="C904" s="2" t="s">
        <v>72</v>
      </c>
      <c r="D904" s="2" t="s">
        <v>172</v>
      </c>
      <c r="E904" s="2" t="s">
        <v>184</v>
      </c>
      <c r="F904" s="2" t="s">
        <v>192</v>
      </c>
      <c r="G904" s="2" t="s">
        <v>205</v>
      </c>
      <c r="H904" s="2">
        <v>4</v>
      </c>
      <c r="I904" s="5">
        <v>18000</v>
      </c>
      <c r="J904" s="10">
        <v>0.05</v>
      </c>
      <c r="K904" s="7">
        <v>2251.54</v>
      </c>
      <c r="L904" t="b">
        <f t="shared" si="14"/>
        <v>0</v>
      </c>
    </row>
    <row r="905" spans="1:12">
      <c r="A905" s="2">
        <v>100903</v>
      </c>
      <c r="B905" s="14">
        <v>45922</v>
      </c>
      <c r="C905" s="2" t="s">
        <v>74</v>
      </c>
      <c r="D905" s="2" t="s">
        <v>174</v>
      </c>
      <c r="E905" s="2" t="s">
        <v>187</v>
      </c>
      <c r="F905" s="2" t="s">
        <v>189</v>
      </c>
      <c r="G905" s="2" t="s">
        <v>206</v>
      </c>
      <c r="H905" s="2">
        <v>2</v>
      </c>
      <c r="I905" s="5">
        <v>100000</v>
      </c>
      <c r="J905" s="10">
        <v>0.2</v>
      </c>
      <c r="K905" s="7">
        <v>14632.15</v>
      </c>
      <c r="L905" t="b">
        <f t="shared" si="14"/>
        <v>0</v>
      </c>
    </row>
    <row r="906" spans="1:12">
      <c r="A906" s="2">
        <v>100904</v>
      </c>
      <c r="B906" s="14">
        <v>45840</v>
      </c>
      <c r="C906" s="2" t="s">
        <v>101</v>
      </c>
      <c r="D906" s="2" t="s">
        <v>178</v>
      </c>
      <c r="E906" s="2" t="s">
        <v>182</v>
      </c>
      <c r="F906" s="2" t="s">
        <v>191</v>
      </c>
      <c r="G906" s="2" t="s">
        <v>209</v>
      </c>
      <c r="H906" s="2">
        <v>1</v>
      </c>
      <c r="I906" s="5">
        <v>26000</v>
      </c>
      <c r="J906" s="10">
        <v>0.2</v>
      </c>
      <c r="K906" s="7">
        <v>5000.07</v>
      </c>
      <c r="L906" t="b">
        <f t="shared" si="14"/>
        <v>0</v>
      </c>
    </row>
    <row r="907" spans="1:12">
      <c r="A907" s="2">
        <v>100905</v>
      </c>
      <c r="B907" s="14">
        <v>45751</v>
      </c>
      <c r="C907" s="2" t="s">
        <v>97</v>
      </c>
      <c r="D907" s="2" t="s">
        <v>168</v>
      </c>
      <c r="E907" s="2" t="s">
        <v>182</v>
      </c>
      <c r="F907" s="2" t="s">
        <v>189</v>
      </c>
      <c r="G907" s="2" t="s">
        <v>194</v>
      </c>
      <c r="H907" s="2">
        <v>4</v>
      </c>
      <c r="I907" s="5">
        <v>248000</v>
      </c>
      <c r="J907" s="10">
        <v>0.1</v>
      </c>
      <c r="K907" s="7">
        <v>32755.33</v>
      </c>
      <c r="L907" t="b">
        <f t="shared" si="14"/>
        <v>0</v>
      </c>
    </row>
    <row r="908" spans="1:12">
      <c r="A908" s="2">
        <v>100906</v>
      </c>
      <c r="B908" s="14">
        <v>45781</v>
      </c>
      <c r="C908" s="2" t="s">
        <v>87</v>
      </c>
      <c r="D908" s="2" t="s">
        <v>174</v>
      </c>
      <c r="E908" s="2" t="s">
        <v>187</v>
      </c>
      <c r="F908" s="2" t="s">
        <v>190</v>
      </c>
      <c r="G908" s="2" t="s">
        <v>201</v>
      </c>
      <c r="H908" s="2">
        <v>1</v>
      </c>
      <c r="I908" s="5">
        <v>1500</v>
      </c>
      <c r="J908" s="10">
        <v>0.1</v>
      </c>
      <c r="K908" s="7">
        <v>317.23</v>
      </c>
      <c r="L908" t="b">
        <f t="shared" si="14"/>
        <v>0</v>
      </c>
    </row>
    <row r="909" spans="1:12">
      <c r="A909" s="2">
        <v>100907</v>
      </c>
      <c r="B909" s="14">
        <v>45668</v>
      </c>
      <c r="C909" s="2" t="s">
        <v>35</v>
      </c>
      <c r="D909" s="2" t="s">
        <v>177</v>
      </c>
      <c r="E909" s="2" t="s">
        <v>188</v>
      </c>
      <c r="F909" s="2" t="s">
        <v>192</v>
      </c>
      <c r="G909" s="2" t="s">
        <v>205</v>
      </c>
      <c r="H909" s="2">
        <v>1</v>
      </c>
      <c r="I909" s="5">
        <v>4500</v>
      </c>
      <c r="J909" s="10">
        <v>0.05</v>
      </c>
      <c r="K909" s="7">
        <v>621.63</v>
      </c>
      <c r="L909" t="b">
        <f t="shared" si="14"/>
        <v>0</v>
      </c>
    </row>
    <row r="910" spans="1:12">
      <c r="A910" s="2">
        <v>100908</v>
      </c>
      <c r="B910" s="14">
        <v>45933</v>
      </c>
      <c r="C910" s="2" t="s">
        <v>39</v>
      </c>
      <c r="D910" s="2" t="s">
        <v>174</v>
      </c>
      <c r="E910" s="2" t="s">
        <v>183</v>
      </c>
      <c r="F910" s="2" t="s">
        <v>192</v>
      </c>
      <c r="G910" s="2" t="s">
        <v>207</v>
      </c>
      <c r="H910" s="2">
        <v>1</v>
      </c>
      <c r="I910" s="5">
        <v>1800</v>
      </c>
      <c r="J910" s="10">
        <v>0.05</v>
      </c>
      <c r="K910" s="7">
        <v>278.08</v>
      </c>
      <c r="L910" t="b">
        <f t="shared" si="14"/>
        <v>0</v>
      </c>
    </row>
    <row r="911" spans="1:12">
      <c r="A911" s="2">
        <v>100909</v>
      </c>
      <c r="B911" s="14">
        <v>45975</v>
      </c>
      <c r="C911" s="2" t="s">
        <v>24</v>
      </c>
      <c r="D911" s="2" t="s">
        <v>166</v>
      </c>
      <c r="E911" s="2" t="s">
        <v>185</v>
      </c>
      <c r="F911" s="2" t="s">
        <v>189</v>
      </c>
      <c r="G911" s="2" t="s">
        <v>206</v>
      </c>
      <c r="H911" s="2">
        <v>1</v>
      </c>
      <c r="I911" s="5">
        <v>50000</v>
      </c>
      <c r="J911" s="10">
        <v>0.15</v>
      </c>
      <c r="K911" s="7">
        <v>5121.2</v>
      </c>
      <c r="L911" t="b">
        <f t="shared" si="14"/>
        <v>0</v>
      </c>
    </row>
    <row r="912" spans="1:12">
      <c r="A912" s="2">
        <v>100910</v>
      </c>
      <c r="B912" s="14">
        <v>45893</v>
      </c>
      <c r="C912" s="2" t="s">
        <v>77</v>
      </c>
      <c r="D912" s="2" t="s">
        <v>165</v>
      </c>
      <c r="E912" s="2" t="s">
        <v>186</v>
      </c>
      <c r="F912" s="2" t="s">
        <v>190</v>
      </c>
      <c r="G912" s="2" t="s">
        <v>204</v>
      </c>
      <c r="H912" s="2">
        <v>4</v>
      </c>
      <c r="I912" s="5">
        <v>2000</v>
      </c>
      <c r="J912" s="10">
        <v>0.2</v>
      </c>
      <c r="K912" s="7">
        <v>312.42</v>
      </c>
      <c r="L912" t="b">
        <f t="shared" si="14"/>
        <v>0</v>
      </c>
    </row>
    <row r="913" spans="1:12">
      <c r="A913" s="2">
        <v>100911</v>
      </c>
      <c r="B913" s="14">
        <v>45991</v>
      </c>
      <c r="C913" s="2" t="s">
        <v>29</v>
      </c>
      <c r="D913" s="2" t="s">
        <v>169</v>
      </c>
      <c r="E913" s="2" t="s">
        <v>181</v>
      </c>
      <c r="F913" s="2" t="s">
        <v>192</v>
      </c>
      <c r="G913" s="2" t="s">
        <v>203</v>
      </c>
      <c r="H913" s="2">
        <v>1</v>
      </c>
      <c r="I913" s="5">
        <v>2000</v>
      </c>
      <c r="J913" s="10">
        <v>0.15</v>
      </c>
      <c r="K913" s="7">
        <v>314.32</v>
      </c>
      <c r="L913" t="b">
        <f t="shared" si="14"/>
        <v>0</v>
      </c>
    </row>
    <row r="914" spans="1:12">
      <c r="A914" s="2">
        <v>100912</v>
      </c>
      <c r="B914" s="14">
        <v>45794</v>
      </c>
      <c r="C914" s="2" t="s">
        <v>108</v>
      </c>
      <c r="D914" s="2" t="s">
        <v>164</v>
      </c>
      <c r="E914" s="2" t="s">
        <v>182</v>
      </c>
      <c r="F914" s="2" t="s">
        <v>192</v>
      </c>
      <c r="G914" s="2" t="s">
        <v>203</v>
      </c>
      <c r="H914" s="2">
        <v>3</v>
      </c>
      <c r="I914" s="5">
        <v>6000</v>
      </c>
      <c r="J914" s="10">
        <v>0.15</v>
      </c>
      <c r="K914" s="7">
        <v>669.75</v>
      </c>
      <c r="L914" t="b">
        <f t="shared" si="14"/>
        <v>0</v>
      </c>
    </row>
    <row r="915" spans="1:12">
      <c r="A915" s="2">
        <v>100913</v>
      </c>
      <c r="B915" s="14">
        <v>45733</v>
      </c>
      <c r="C915" s="2" t="s">
        <v>68</v>
      </c>
      <c r="D915" s="2" t="s">
        <v>175</v>
      </c>
      <c r="E915" s="2" t="s">
        <v>181</v>
      </c>
      <c r="F915" s="2" t="s">
        <v>191</v>
      </c>
      <c r="G915" s="2" t="s">
        <v>200</v>
      </c>
      <c r="H915" s="2">
        <v>2</v>
      </c>
      <c r="I915" s="5">
        <v>56000</v>
      </c>
      <c r="J915" s="10">
        <v>0.1</v>
      </c>
      <c r="K915" s="7">
        <v>7762.99</v>
      </c>
      <c r="L915" t="b">
        <f t="shared" si="14"/>
        <v>0</v>
      </c>
    </row>
    <row r="916" spans="1:12">
      <c r="A916" s="2">
        <v>100914</v>
      </c>
      <c r="B916" s="14">
        <v>45749</v>
      </c>
      <c r="C916" s="2" t="s">
        <v>74</v>
      </c>
      <c r="D916" s="2" t="s">
        <v>174</v>
      </c>
      <c r="E916" s="2" t="s">
        <v>185</v>
      </c>
      <c r="F916" s="2" t="s">
        <v>189</v>
      </c>
      <c r="G916" s="2" t="s">
        <v>194</v>
      </c>
      <c r="H916" s="2">
        <v>4</v>
      </c>
      <c r="I916" s="5">
        <v>248000</v>
      </c>
      <c r="J916" s="10">
        <v>0.05</v>
      </c>
      <c r="K916" s="7">
        <v>34101.64</v>
      </c>
      <c r="L916" t="b">
        <f t="shared" si="14"/>
        <v>0</v>
      </c>
    </row>
    <row r="917" spans="1:12">
      <c r="A917" s="2">
        <v>100915</v>
      </c>
      <c r="B917" s="14">
        <v>45658</v>
      </c>
      <c r="C917" s="2" t="s">
        <v>158</v>
      </c>
      <c r="D917" s="2" t="s">
        <v>167</v>
      </c>
      <c r="E917" s="2" t="s">
        <v>184</v>
      </c>
      <c r="F917" s="2" t="s">
        <v>189</v>
      </c>
      <c r="G917" s="2" t="s">
        <v>194</v>
      </c>
      <c r="H917" s="2">
        <v>3</v>
      </c>
      <c r="I917" s="5">
        <v>186000</v>
      </c>
      <c r="J917" s="10">
        <v>0.05</v>
      </c>
      <c r="K917" s="7">
        <v>28077.66</v>
      </c>
      <c r="L917" t="b">
        <f t="shared" si="14"/>
        <v>0</v>
      </c>
    </row>
    <row r="918" spans="1:12">
      <c r="A918" s="2">
        <v>100916</v>
      </c>
      <c r="B918" s="14">
        <v>45953</v>
      </c>
      <c r="C918" s="2" t="s">
        <v>43</v>
      </c>
      <c r="D918" s="2" t="s">
        <v>165</v>
      </c>
      <c r="E918" s="2" t="s">
        <v>181</v>
      </c>
      <c r="F918" s="2" t="s">
        <v>192</v>
      </c>
      <c r="G918" s="2" t="s">
        <v>203</v>
      </c>
      <c r="H918" s="2">
        <v>4</v>
      </c>
      <c r="I918" s="5">
        <v>8000</v>
      </c>
      <c r="J918" s="10">
        <v>0.15</v>
      </c>
      <c r="K918" s="7">
        <v>1457</v>
      </c>
      <c r="L918" t="b">
        <f t="shared" si="14"/>
        <v>0</v>
      </c>
    </row>
    <row r="919" spans="1:12">
      <c r="A919" s="2">
        <v>100917</v>
      </c>
      <c r="B919" s="14">
        <v>45977</v>
      </c>
      <c r="C919" s="2" t="s">
        <v>13</v>
      </c>
      <c r="D919" s="2" t="s">
        <v>166</v>
      </c>
      <c r="E919" s="2" t="s">
        <v>185</v>
      </c>
      <c r="F919" s="2" t="s">
        <v>189</v>
      </c>
      <c r="G919" s="2" t="s">
        <v>194</v>
      </c>
      <c r="H919" s="2">
        <v>3</v>
      </c>
      <c r="I919" s="5">
        <v>186000</v>
      </c>
      <c r="J919" s="10">
        <v>0.2</v>
      </c>
      <c r="K919" s="7">
        <v>33213.879999999997</v>
      </c>
      <c r="L919" t="b">
        <f t="shared" si="14"/>
        <v>0</v>
      </c>
    </row>
    <row r="920" spans="1:12">
      <c r="A920" s="2">
        <v>100918</v>
      </c>
      <c r="B920" s="14">
        <v>45660</v>
      </c>
      <c r="C920" s="2" t="s">
        <v>115</v>
      </c>
      <c r="D920" s="2" t="s">
        <v>176</v>
      </c>
      <c r="E920" s="2" t="s">
        <v>186</v>
      </c>
      <c r="F920" s="2" t="s">
        <v>189</v>
      </c>
      <c r="G920" s="2" t="s">
        <v>198</v>
      </c>
      <c r="H920" s="2">
        <v>4</v>
      </c>
      <c r="I920" s="5">
        <v>180000</v>
      </c>
      <c r="J920" s="10">
        <v>0.2</v>
      </c>
      <c r="K920" s="7">
        <v>33099.14</v>
      </c>
      <c r="L920" t="b">
        <f t="shared" si="14"/>
        <v>0</v>
      </c>
    </row>
    <row r="921" spans="1:12">
      <c r="A921" s="2">
        <v>100919</v>
      </c>
      <c r="B921" s="14">
        <v>45977</v>
      </c>
      <c r="C921" s="2" t="s">
        <v>144</v>
      </c>
      <c r="D921" s="2" t="s">
        <v>177</v>
      </c>
      <c r="E921" s="2" t="s">
        <v>187</v>
      </c>
      <c r="F921" s="2" t="s">
        <v>191</v>
      </c>
      <c r="G921" s="2" t="s">
        <v>200</v>
      </c>
      <c r="H921" s="2">
        <v>1</v>
      </c>
      <c r="I921" s="5">
        <v>28000</v>
      </c>
      <c r="J921" s="10">
        <v>0.05</v>
      </c>
      <c r="K921" s="7">
        <v>4581.6899999999996</v>
      </c>
      <c r="L921" t="b">
        <f t="shared" si="14"/>
        <v>0</v>
      </c>
    </row>
    <row r="922" spans="1:12">
      <c r="A922" s="2">
        <v>100920</v>
      </c>
      <c r="B922" s="14">
        <v>46006</v>
      </c>
      <c r="C922" s="2" t="s">
        <v>91</v>
      </c>
      <c r="D922" s="2" t="s">
        <v>175</v>
      </c>
      <c r="E922" s="2" t="s">
        <v>188</v>
      </c>
      <c r="F922" s="2" t="s">
        <v>192</v>
      </c>
      <c r="G922" s="2" t="s">
        <v>207</v>
      </c>
      <c r="H922" s="2">
        <v>2</v>
      </c>
      <c r="I922" s="5">
        <v>3600</v>
      </c>
      <c r="J922" s="10">
        <v>0.2</v>
      </c>
      <c r="K922" s="7">
        <v>626.01</v>
      </c>
      <c r="L922" t="b">
        <f t="shared" si="14"/>
        <v>0</v>
      </c>
    </row>
    <row r="923" spans="1:12">
      <c r="A923" s="2">
        <v>100921</v>
      </c>
      <c r="B923" s="14">
        <v>45985</v>
      </c>
      <c r="C923" s="2" t="s">
        <v>42</v>
      </c>
      <c r="D923" s="2" t="s">
        <v>168</v>
      </c>
      <c r="E923" s="2" t="s">
        <v>186</v>
      </c>
      <c r="F923" s="2" t="s">
        <v>192</v>
      </c>
      <c r="G923" s="2" t="s">
        <v>205</v>
      </c>
      <c r="H923" s="2">
        <v>4</v>
      </c>
      <c r="I923" s="5">
        <v>18000</v>
      </c>
      <c r="J923" s="10">
        <v>0.2</v>
      </c>
      <c r="K923" s="7">
        <v>2076.98</v>
      </c>
      <c r="L923" t="b">
        <f t="shared" si="14"/>
        <v>0</v>
      </c>
    </row>
    <row r="924" spans="1:12">
      <c r="A924" s="2">
        <v>100922</v>
      </c>
      <c r="B924" s="14">
        <v>45924</v>
      </c>
      <c r="C924" s="2" t="s">
        <v>147</v>
      </c>
      <c r="D924" s="2" t="s">
        <v>175</v>
      </c>
      <c r="E924" s="2" t="s">
        <v>182</v>
      </c>
      <c r="F924" s="2" t="s">
        <v>189</v>
      </c>
      <c r="G924" s="2" t="s">
        <v>196</v>
      </c>
      <c r="H924" s="2">
        <v>2</v>
      </c>
      <c r="I924" s="5">
        <v>110000</v>
      </c>
      <c r="J924" s="10">
        <v>0.1</v>
      </c>
      <c r="K924" s="7">
        <v>19556.099999999999</v>
      </c>
      <c r="L924" t="b">
        <f t="shared" si="14"/>
        <v>0</v>
      </c>
    </row>
    <row r="925" spans="1:12">
      <c r="A925" s="2">
        <v>100923</v>
      </c>
      <c r="B925" s="14">
        <v>46018</v>
      </c>
      <c r="C925" s="2" t="s">
        <v>105</v>
      </c>
      <c r="D925" s="2" t="s">
        <v>165</v>
      </c>
      <c r="E925" s="2" t="s">
        <v>185</v>
      </c>
      <c r="F925" s="2" t="s">
        <v>189</v>
      </c>
      <c r="G925" s="2" t="s">
        <v>194</v>
      </c>
      <c r="H925" s="2">
        <v>1</v>
      </c>
      <c r="I925" s="5">
        <v>62000</v>
      </c>
      <c r="J925" s="10">
        <v>0.05</v>
      </c>
      <c r="K925" s="7">
        <v>9981.35</v>
      </c>
      <c r="L925" t="b">
        <f t="shared" si="14"/>
        <v>0</v>
      </c>
    </row>
    <row r="926" spans="1:12">
      <c r="A926" s="2">
        <v>100924</v>
      </c>
      <c r="B926" s="14">
        <v>45886</v>
      </c>
      <c r="C926" s="2" t="s">
        <v>37</v>
      </c>
      <c r="D926" s="2" t="s">
        <v>173</v>
      </c>
      <c r="E926" s="2" t="s">
        <v>181</v>
      </c>
      <c r="F926" s="2" t="s">
        <v>190</v>
      </c>
      <c r="G926" s="2" t="s">
        <v>204</v>
      </c>
      <c r="H926" s="2">
        <v>4</v>
      </c>
      <c r="I926" s="5">
        <v>2000</v>
      </c>
      <c r="J926" s="10">
        <v>0.05</v>
      </c>
      <c r="K926" s="7">
        <v>325.76</v>
      </c>
      <c r="L926" t="b">
        <f t="shared" si="14"/>
        <v>0</v>
      </c>
    </row>
    <row r="927" spans="1:12">
      <c r="A927" s="2">
        <v>100925</v>
      </c>
      <c r="B927" s="14">
        <v>45927</v>
      </c>
      <c r="C927" s="2" t="s">
        <v>70</v>
      </c>
      <c r="D927" s="2" t="s">
        <v>166</v>
      </c>
      <c r="E927" s="2" t="s">
        <v>182</v>
      </c>
      <c r="F927" s="2" t="s">
        <v>191</v>
      </c>
      <c r="G927" s="2" t="s">
        <v>197</v>
      </c>
      <c r="H927" s="2">
        <v>4</v>
      </c>
      <c r="I927" s="5">
        <v>232000</v>
      </c>
      <c r="J927" s="10">
        <v>0.1</v>
      </c>
      <c r="K927" s="7">
        <v>33190.21</v>
      </c>
      <c r="L927" t="b">
        <f t="shared" si="14"/>
        <v>0</v>
      </c>
    </row>
    <row r="928" spans="1:12">
      <c r="A928" s="2">
        <v>100926</v>
      </c>
      <c r="B928" s="14">
        <v>46002</v>
      </c>
      <c r="C928" s="2" t="s">
        <v>63</v>
      </c>
      <c r="D928" s="2" t="s">
        <v>167</v>
      </c>
      <c r="E928" s="2" t="s">
        <v>188</v>
      </c>
      <c r="F928" s="2" t="s">
        <v>191</v>
      </c>
      <c r="G928" s="2" t="s">
        <v>209</v>
      </c>
      <c r="H928" s="2">
        <v>1</v>
      </c>
      <c r="I928" s="5">
        <v>26000</v>
      </c>
      <c r="J928" s="10">
        <v>0.05</v>
      </c>
      <c r="K928" s="7">
        <v>4949.33</v>
      </c>
      <c r="L928" t="b">
        <f t="shared" si="14"/>
        <v>0</v>
      </c>
    </row>
    <row r="929" spans="1:12">
      <c r="A929" s="2">
        <v>100927</v>
      </c>
      <c r="B929" s="14">
        <v>45943</v>
      </c>
      <c r="C929" s="2" t="s">
        <v>36</v>
      </c>
      <c r="D929" s="2" t="s">
        <v>168</v>
      </c>
      <c r="E929" s="2" t="s">
        <v>187</v>
      </c>
      <c r="F929" s="2" t="s">
        <v>191</v>
      </c>
      <c r="G929" s="2" t="s">
        <v>197</v>
      </c>
      <c r="H929" s="2">
        <v>4</v>
      </c>
      <c r="I929" s="5">
        <v>232000</v>
      </c>
      <c r="J929" s="10">
        <v>0.1</v>
      </c>
      <c r="K929" s="7">
        <v>38925.79</v>
      </c>
      <c r="L929" t="b">
        <f t="shared" si="14"/>
        <v>0</v>
      </c>
    </row>
    <row r="930" spans="1:12">
      <c r="A930" s="2">
        <v>100928</v>
      </c>
      <c r="B930" s="14">
        <v>45948</v>
      </c>
      <c r="C930" s="2" t="s">
        <v>33</v>
      </c>
      <c r="D930" s="2" t="s">
        <v>175</v>
      </c>
      <c r="E930" s="2" t="s">
        <v>184</v>
      </c>
      <c r="F930" s="2" t="s">
        <v>192</v>
      </c>
      <c r="G930" s="2" t="s">
        <v>207</v>
      </c>
      <c r="H930" s="2">
        <v>4</v>
      </c>
      <c r="I930" s="5">
        <v>7200</v>
      </c>
      <c r="J930" s="10">
        <v>0.1</v>
      </c>
      <c r="K930" s="7">
        <v>796.21</v>
      </c>
      <c r="L930" t="b">
        <f t="shared" si="14"/>
        <v>0</v>
      </c>
    </row>
    <row r="931" spans="1:12">
      <c r="A931" s="2">
        <v>100929</v>
      </c>
      <c r="B931" s="14">
        <v>45665</v>
      </c>
      <c r="C931" s="2" t="s">
        <v>157</v>
      </c>
      <c r="D931" s="2" t="s">
        <v>170</v>
      </c>
      <c r="E931" s="2" t="s">
        <v>182</v>
      </c>
      <c r="F931" s="2" t="s">
        <v>190</v>
      </c>
      <c r="G931" s="2" t="s">
        <v>195</v>
      </c>
      <c r="H931" s="2">
        <v>1</v>
      </c>
      <c r="I931" s="5">
        <v>800</v>
      </c>
      <c r="J931" s="10">
        <v>0.15</v>
      </c>
      <c r="K931" s="7">
        <v>115.87</v>
      </c>
      <c r="L931" t="b">
        <f t="shared" si="14"/>
        <v>0</v>
      </c>
    </row>
    <row r="932" spans="1:12">
      <c r="A932" s="2">
        <v>100930</v>
      </c>
      <c r="B932" s="14">
        <v>45822</v>
      </c>
      <c r="C932" s="2" t="s">
        <v>135</v>
      </c>
      <c r="D932" s="2" t="s">
        <v>177</v>
      </c>
      <c r="E932" s="2" t="s">
        <v>184</v>
      </c>
      <c r="F932" s="2" t="s">
        <v>192</v>
      </c>
      <c r="G932" s="2" t="s">
        <v>207</v>
      </c>
      <c r="H932" s="2">
        <v>2</v>
      </c>
      <c r="I932" s="5">
        <v>3600</v>
      </c>
      <c r="J932" s="10">
        <v>0.2</v>
      </c>
      <c r="K932" s="7">
        <v>666.45</v>
      </c>
      <c r="L932" t="b">
        <f t="shared" si="14"/>
        <v>0</v>
      </c>
    </row>
    <row r="933" spans="1:12">
      <c r="A933" s="2">
        <v>100931</v>
      </c>
      <c r="B933" s="14">
        <v>45778</v>
      </c>
      <c r="C933" s="2" t="s">
        <v>32</v>
      </c>
      <c r="D933" s="2" t="s">
        <v>165</v>
      </c>
      <c r="E933" s="2" t="s">
        <v>185</v>
      </c>
      <c r="F933" s="2" t="s">
        <v>191</v>
      </c>
      <c r="G933" s="2" t="s">
        <v>202</v>
      </c>
      <c r="H933" s="2">
        <v>3</v>
      </c>
      <c r="I933" s="5">
        <v>114000</v>
      </c>
      <c r="J933" s="10">
        <v>0.2</v>
      </c>
      <c r="K933" s="7">
        <v>19253.46</v>
      </c>
      <c r="L933" t="b">
        <f t="shared" si="14"/>
        <v>0</v>
      </c>
    </row>
    <row r="934" spans="1:12">
      <c r="A934" s="2">
        <v>100932</v>
      </c>
      <c r="B934" s="14">
        <v>45789</v>
      </c>
      <c r="C934" s="2" t="s">
        <v>31</v>
      </c>
      <c r="D934" s="2" t="s">
        <v>168</v>
      </c>
      <c r="E934" s="2" t="s">
        <v>188</v>
      </c>
      <c r="F934" s="2" t="s">
        <v>192</v>
      </c>
      <c r="G934" s="2" t="s">
        <v>207</v>
      </c>
      <c r="H934" s="2">
        <v>2</v>
      </c>
      <c r="I934" s="5">
        <v>3600</v>
      </c>
      <c r="J934" s="10">
        <v>0.2</v>
      </c>
      <c r="K934" s="7">
        <v>461.44</v>
      </c>
      <c r="L934" t="b">
        <f t="shared" si="14"/>
        <v>0</v>
      </c>
    </row>
    <row r="935" spans="1:12">
      <c r="A935" s="2">
        <v>100933</v>
      </c>
      <c r="B935" s="14">
        <v>45735</v>
      </c>
      <c r="C935" s="2" t="s">
        <v>139</v>
      </c>
      <c r="D935" s="2" t="s">
        <v>173</v>
      </c>
      <c r="E935" s="2" t="s">
        <v>181</v>
      </c>
      <c r="F935" s="2" t="s">
        <v>192</v>
      </c>
      <c r="G935" s="2" t="s">
        <v>203</v>
      </c>
      <c r="H935" s="2">
        <v>2</v>
      </c>
      <c r="I935" s="5">
        <v>4000</v>
      </c>
      <c r="J935" s="10">
        <v>0.1</v>
      </c>
      <c r="K935" s="7">
        <v>664.71</v>
      </c>
      <c r="L935" t="b">
        <f t="shared" si="14"/>
        <v>0</v>
      </c>
    </row>
    <row r="936" spans="1:12">
      <c r="A936" s="2">
        <v>100934</v>
      </c>
      <c r="B936" s="14">
        <v>45719</v>
      </c>
      <c r="C936" s="2" t="s">
        <v>121</v>
      </c>
      <c r="D936" s="2" t="s">
        <v>170</v>
      </c>
      <c r="E936" s="2" t="s">
        <v>188</v>
      </c>
      <c r="F936" s="2" t="s">
        <v>192</v>
      </c>
      <c r="G936" s="2" t="s">
        <v>205</v>
      </c>
      <c r="H936" s="2">
        <v>2</v>
      </c>
      <c r="I936" s="5">
        <v>9000</v>
      </c>
      <c r="J936" s="10">
        <v>0.2</v>
      </c>
      <c r="K936" s="7">
        <v>1652.21</v>
      </c>
      <c r="L936" t="b">
        <f t="shared" si="14"/>
        <v>0</v>
      </c>
    </row>
    <row r="937" spans="1:12">
      <c r="A937" s="2">
        <v>100935</v>
      </c>
      <c r="B937" s="14">
        <v>45996</v>
      </c>
      <c r="C937" s="2" t="s">
        <v>103</v>
      </c>
      <c r="D937" s="2" t="s">
        <v>172</v>
      </c>
      <c r="E937" s="2" t="s">
        <v>188</v>
      </c>
      <c r="F937" s="2" t="s">
        <v>191</v>
      </c>
      <c r="G937" s="2" t="s">
        <v>197</v>
      </c>
      <c r="H937" s="2">
        <v>1</v>
      </c>
      <c r="I937" s="5">
        <v>58000</v>
      </c>
      <c r="J937" s="10">
        <v>0.15</v>
      </c>
      <c r="K937" s="7">
        <v>7144.84</v>
      </c>
      <c r="L937" t="b">
        <f t="shared" si="14"/>
        <v>0</v>
      </c>
    </row>
    <row r="938" spans="1:12">
      <c r="A938" s="2">
        <v>100936</v>
      </c>
      <c r="B938" s="14">
        <v>45746</v>
      </c>
      <c r="C938" s="2" t="s">
        <v>16</v>
      </c>
      <c r="D938" s="2" t="s">
        <v>168</v>
      </c>
      <c r="E938" s="2" t="s">
        <v>183</v>
      </c>
      <c r="F938" s="2" t="s">
        <v>192</v>
      </c>
      <c r="G938" s="2" t="s">
        <v>207</v>
      </c>
      <c r="H938" s="2">
        <v>3</v>
      </c>
      <c r="I938" s="5">
        <v>5400</v>
      </c>
      <c r="J938" s="10">
        <v>0.1</v>
      </c>
      <c r="K938" s="7">
        <v>713.98</v>
      </c>
      <c r="L938" t="b">
        <f t="shared" si="14"/>
        <v>0</v>
      </c>
    </row>
    <row r="939" spans="1:12">
      <c r="A939" s="2">
        <v>100937</v>
      </c>
      <c r="B939" s="14">
        <v>45894</v>
      </c>
      <c r="C939" s="2" t="s">
        <v>70</v>
      </c>
      <c r="D939" s="2" t="s">
        <v>166</v>
      </c>
      <c r="E939" s="2" t="s">
        <v>188</v>
      </c>
      <c r="F939" s="2" t="s">
        <v>189</v>
      </c>
      <c r="G939" s="2" t="s">
        <v>196</v>
      </c>
      <c r="H939" s="2">
        <v>1</v>
      </c>
      <c r="I939" s="5">
        <v>55000</v>
      </c>
      <c r="J939" s="10">
        <v>0.2</v>
      </c>
      <c r="K939" s="7">
        <v>7316.85</v>
      </c>
      <c r="L939" t="b">
        <f t="shared" si="14"/>
        <v>0</v>
      </c>
    </row>
    <row r="940" spans="1:12">
      <c r="A940" s="2">
        <v>100938</v>
      </c>
      <c r="B940" s="14">
        <v>45963</v>
      </c>
      <c r="C940" s="2" t="s">
        <v>66</v>
      </c>
      <c r="D940" s="2" t="s">
        <v>177</v>
      </c>
      <c r="E940" s="2" t="s">
        <v>188</v>
      </c>
      <c r="F940" s="2" t="s">
        <v>189</v>
      </c>
      <c r="G940" s="2" t="s">
        <v>196</v>
      </c>
      <c r="H940" s="2">
        <v>3</v>
      </c>
      <c r="I940" s="5">
        <v>165000</v>
      </c>
      <c r="J940" s="10">
        <v>0.2</v>
      </c>
      <c r="K940" s="7">
        <v>30042.91</v>
      </c>
      <c r="L940" t="b">
        <f t="shared" si="14"/>
        <v>0</v>
      </c>
    </row>
    <row r="941" spans="1:12">
      <c r="A941" s="2">
        <v>100939</v>
      </c>
      <c r="B941" s="14">
        <v>45746</v>
      </c>
      <c r="C941" s="2" t="s">
        <v>108</v>
      </c>
      <c r="D941" s="2" t="s">
        <v>164</v>
      </c>
      <c r="E941" s="2" t="s">
        <v>186</v>
      </c>
      <c r="F941" s="2" t="s">
        <v>189</v>
      </c>
      <c r="G941" s="2" t="s">
        <v>193</v>
      </c>
      <c r="H941" s="2">
        <v>1</v>
      </c>
      <c r="I941" s="5">
        <v>85000</v>
      </c>
      <c r="J941" s="10">
        <v>0.05</v>
      </c>
      <c r="K941" s="7">
        <v>16359.31</v>
      </c>
      <c r="L941" t="b">
        <f t="shared" si="14"/>
        <v>0</v>
      </c>
    </row>
    <row r="942" spans="1:12">
      <c r="A942" s="2">
        <v>100940</v>
      </c>
      <c r="B942" s="14">
        <v>45953</v>
      </c>
      <c r="C942" s="2" t="s">
        <v>50</v>
      </c>
      <c r="D942" s="2" t="s">
        <v>164</v>
      </c>
      <c r="E942" s="2" t="s">
        <v>182</v>
      </c>
      <c r="F942" s="2" t="s">
        <v>189</v>
      </c>
      <c r="G942" s="2" t="s">
        <v>206</v>
      </c>
      <c r="H942" s="2">
        <v>2</v>
      </c>
      <c r="I942" s="5">
        <v>100000</v>
      </c>
      <c r="J942" s="10">
        <v>0.05</v>
      </c>
      <c r="K942" s="7">
        <v>20638</v>
      </c>
      <c r="L942" t="b">
        <f t="shared" si="14"/>
        <v>0</v>
      </c>
    </row>
    <row r="943" spans="1:12">
      <c r="A943" s="2">
        <v>100941</v>
      </c>
      <c r="B943" s="14">
        <v>45985</v>
      </c>
      <c r="C943" s="2" t="s">
        <v>68</v>
      </c>
      <c r="D943" s="2" t="s">
        <v>175</v>
      </c>
      <c r="E943" s="2" t="s">
        <v>181</v>
      </c>
      <c r="F943" s="2" t="s">
        <v>189</v>
      </c>
      <c r="G943" s="2" t="s">
        <v>196</v>
      </c>
      <c r="H943" s="2">
        <v>2</v>
      </c>
      <c r="I943" s="5">
        <v>110000</v>
      </c>
      <c r="J943" s="10">
        <v>0.2</v>
      </c>
      <c r="K943" s="7">
        <v>21183.15</v>
      </c>
      <c r="L943" t="b">
        <f t="shared" si="14"/>
        <v>0</v>
      </c>
    </row>
    <row r="944" spans="1:12">
      <c r="A944" s="2">
        <v>100942</v>
      </c>
      <c r="B944" s="14">
        <v>45952</v>
      </c>
      <c r="C944" s="2" t="s">
        <v>36</v>
      </c>
      <c r="D944" s="2" t="s">
        <v>168</v>
      </c>
      <c r="E944" s="2" t="s">
        <v>186</v>
      </c>
      <c r="F944" s="2" t="s">
        <v>189</v>
      </c>
      <c r="G944" s="2" t="s">
        <v>196</v>
      </c>
      <c r="H944" s="2">
        <v>3</v>
      </c>
      <c r="I944" s="5">
        <v>165000</v>
      </c>
      <c r="J944" s="10">
        <v>0.1</v>
      </c>
      <c r="K944" s="7">
        <v>22937.39</v>
      </c>
      <c r="L944" t="b">
        <f t="shared" si="14"/>
        <v>0</v>
      </c>
    </row>
    <row r="945" spans="1:12">
      <c r="A945" s="2">
        <v>100943</v>
      </c>
      <c r="B945" s="14">
        <v>45761</v>
      </c>
      <c r="C945" s="2" t="s">
        <v>55</v>
      </c>
      <c r="D945" s="2" t="s">
        <v>172</v>
      </c>
      <c r="E945" s="2" t="s">
        <v>186</v>
      </c>
      <c r="F945" s="2" t="s">
        <v>191</v>
      </c>
      <c r="G945" s="2" t="s">
        <v>209</v>
      </c>
      <c r="H945" s="2">
        <v>2</v>
      </c>
      <c r="I945" s="5">
        <v>52000</v>
      </c>
      <c r="J945" s="10">
        <v>0.2</v>
      </c>
      <c r="K945" s="7">
        <v>5493.4</v>
      </c>
      <c r="L945" t="b">
        <f t="shared" si="14"/>
        <v>0</v>
      </c>
    </row>
    <row r="946" spans="1:12">
      <c r="A946" s="2">
        <v>100944</v>
      </c>
      <c r="B946" s="14">
        <v>45671</v>
      </c>
      <c r="C946" s="2" t="s">
        <v>18</v>
      </c>
      <c r="D946" s="2" t="s">
        <v>170</v>
      </c>
      <c r="E946" s="2" t="s">
        <v>182</v>
      </c>
      <c r="F946" s="2" t="s">
        <v>191</v>
      </c>
      <c r="G946" s="2" t="s">
        <v>200</v>
      </c>
      <c r="H946" s="2">
        <v>2</v>
      </c>
      <c r="I946" s="5">
        <v>56000</v>
      </c>
      <c r="J946" s="10">
        <v>0.1</v>
      </c>
      <c r="K946" s="7">
        <v>6712.24</v>
      </c>
      <c r="L946" t="b">
        <f t="shared" si="14"/>
        <v>0</v>
      </c>
    </row>
    <row r="947" spans="1:12">
      <c r="A947" s="2">
        <v>100945</v>
      </c>
      <c r="B947" s="14">
        <v>45945</v>
      </c>
      <c r="C947" s="2" t="s">
        <v>126</v>
      </c>
      <c r="D947" s="2" t="s">
        <v>177</v>
      </c>
      <c r="E947" s="2" t="s">
        <v>182</v>
      </c>
      <c r="F947" s="2" t="s">
        <v>190</v>
      </c>
      <c r="G947" s="2" t="s">
        <v>199</v>
      </c>
      <c r="H947" s="2">
        <v>3</v>
      </c>
      <c r="I947" s="5">
        <v>5400</v>
      </c>
      <c r="J947" s="10">
        <v>0.15</v>
      </c>
      <c r="K947" s="7">
        <v>838.57</v>
      </c>
      <c r="L947" t="b">
        <f t="shared" si="14"/>
        <v>0</v>
      </c>
    </row>
    <row r="948" spans="1:12">
      <c r="A948" s="2">
        <v>100946</v>
      </c>
      <c r="B948" s="14">
        <v>45836</v>
      </c>
      <c r="C948" s="2" t="s">
        <v>84</v>
      </c>
      <c r="D948" s="2" t="s">
        <v>165</v>
      </c>
      <c r="E948" s="2" t="s">
        <v>185</v>
      </c>
      <c r="F948" s="2" t="s">
        <v>190</v>
      </c>
      <c r="G948" s="2" t="s">
        <v>204</v>
      </c>
      <c r="H948" s="2">
        <v>2</v>
      </c>
      <c r="I948" s="5">
        <v>1000</v>
      </c>
      <c r="J948" s="10">
        <v>0.05</v>
      </c>
      <c r="K948" s="7">
        <v>201.37</v>
      </c>
      <c r="L948" t="b">
        <f t="shared" si="14"/>
        <v>0</v>
      </c>
    </row>
    <row r="949" spans="1:12">
      <c r="A949" s="2">
        <v>100947</v>
      </c>
      <c r="B949" s="14">
        <v>45782</v>
      </c>
      <c r="C949" s="2" t="s">
        <v>150</v>
      </c>
      <c r="D949" s="2" t="s">
        <v>176</v>
      </c>
      <c r="E949" s="2" t="s">
        <v>182</v>
      </c>
      <c r="F949" s="2" t="s">
        <v>189</v>
      </c>
      <c r="G949" s="2" t="s">
        <v>206</v>
      </c>
      <c r="H949" s="2">
        <v>4</v>
      </c>
      <c r="I949" s="5">
        <v>200000</v>
      </c>
      <c r="J949" s="10">
        <v>0.1</v>
      </c>
      <c r="K949" s="7">
        <v>38626.57</v>
      </c>
      <c r="L949" t="b">
        <f t="shared" si="14"/>
        <v>0</v>
      </c>
    </row>
    <row r="950" spans="1:12">
      <c r="A950" s="2">
        <v>100948</v>
      </c>
      <c r="B950" s="14">
        <v>46010</v>
      </c>
      <c r="C950" s="2" t="s">
        <v>107</v>
      </c>
      <c r="D950" s="2" t="s">
        <v>171</v>
      </c>
      <c r="E950" s="2" t="s">
        <v>183</v>
      </c>
      <c r="F950" s="2" t="s">
        <v>191</v>
      </c>
      <c r="G950" s="2" t="s">
        <v>209</v>
      </c>
      <c r="H950" s="2">
        <v>1</v>
      </c>
      <c r="I950" s="5">
        <v>26000</v>
      </c>
      <c r="J950" s="10">
        <v>0.1</v>
      </c>
      <c r="K950" s="7">
        <v>4608</v>
      </c>
      <c r="L950" t="b">
        <f t="shared" si="14"/>
        <v>0</v>
      </c>
    </row>
    <row r="951" spans="1:12">
      <c r="A951" s="2">
        <v>100949</v>
      </c>
      <c r="B951" s="14">
        <v>45680</v>
      </c>
      <c r="C951" s="2" t="s">
        <v>128</v>
      </c>
      <c r="D951" s="2" t="s">
        <v>168</v>
      </c>
      <c r="E951" s="2" t="s">
        <v>183</v>
      </c>
      <c r="F951" s="2" t="s">
        <v>192</v>
      </c>
      <c r="G951" s="2" t="s">
        <v>203</v>
      </c>
      <c r="H951" s="2">
        <v>3</v>
      </c>
      <c r="I951" s="5">
        <v>6000</v>
      </c>
      <c r="J951" s="10">
        <v>0.15</v>
      </c>
      <c r="K951" s="7">
        <v>1025.3</v>
      </c>
      <c r="L951" t="b">
        <f t="shared" si="14"/>
        <v>0</v>
      </c>
    </row>
    <row r="952" spans="1:12">
      <c r="A952" s="2">
        <v>100950</v>
      </c>
      <c r="B952" s="14">
        <v>45750</v>
      </c>
      <c r="C952" s="2" t="s">
        <v>58</v>
      </c>
      <c r="D952" s="2" t="s">
        <v>178</v>
      </c>
      <c r="E952" s="2" t="s">
        <v>186</v>
      </c>
      <c r="F952" s="2" t="s">
        <v>190</v>
      </c>
      <c r="G952" s="2" t="s">
        <v>204</v>
      </c>
      <c r="H952" s="2">
        <v>1</v>
      </c>
      <c r="I952" s="5">
        <v>500</v>
      </c>
      <c r="J952" s="10">
        <v>0.1</v>
      </c>
      <c r="K952" s="7">
        <v>84.93</v>
      </c>
      <c r="L952" t="b">
        <f t="shared" si="14"/>
        <v>0</v>
      </c>
    </row>
    <row r="953" spans="1:12">
      <c r="A953" s="2">
        <v>100951</v>
      </c>
      <c r="B953" s="14">
        <v>45800</v>
      </c>
      <c r="C953" s="2" t="s">
        <v>101</v>
      </c>
      <c r="D953" s="2" t="s">
        <v>178</v>
      </c>
      <c r="E953" s="2" t="s">
        <v>184</v>
      </c>
      <c r="F953" s="2" t="s">
        <v>190</v>
      </c>
      <c r="G953" s="2" t="s">
        <v>204</v>
      </c>
      <c r="H953" s="2">
        <v>1</v>
      </c>
      <c r="I953" s="5">
        <v>500</v>
      </c>
      <c r="J953" s="10">
        <v>0.2</v>
      </c>
      <c r="K953" s="7">
        <v>58.27</v>
      </c>
      <c r="L953" t="b">
        <f t="shared" si="14"/>
        <v>0</v>
      </c>
    </row>
    <row r="954" spans="1:12">
      <c r="A954" s="2">
        <v>100952</v>
      </c>
      <c r="B954" s="14">
        <v>45694</v>
      </c>
      <c r="C954" s="2" t="s">
        <v>102</v>
      </c>
      <c r="D954" s="2" t="s">
        <v>171</v>
      </c>
      <c r="E954" s="2" t="s">
        <v>185</v>
      </c>
      <c r="F954" s="2" t="s">
        <v>192</v>
      </c>
      <c r="G954" s="2" t="s">
        <v>207</v>
      </c>
      <c r="H954" s="2">
        <v>4</v>
      </c>
      <c r="I954" s="5">
        <v>7200</v>
      </c>
      <c r="J954" s="10">
        <v>0.2</v>
      </c>
      <c r="K954" s="7">
        <v>754.82</v>
      </c>
      <c r="L954" t="b">
        <f t="shared" si="14"/>
        <v>0</v>
      </c>
    </row>
    <row r="955" spans="1:12">
      <c r="A955" s="2">
        <v>100953</v>
      </c>
      <c r="B955" s="14">
        <v>45802</v>
      </c>
      <c r="C955" s="2" t="s">
        <v>121</v>
      </c>
      <c r="D955" s="2" t="s">
        <v>170</v>
      </c>
      <c r="E955" s="2" t="s">
        <v>184</v>
      </c>
      <c r="F955" s="2" t="s">
        <v>192</v>
      </c>
      <c r="G955" s="2" t="s">
        <v>203</v>
      </c>
      <c r="H955" s="2">
        <v>2</v>
      </c>
      <c r="I955" s="5">
        <v>4000</v>
      </c>
      <c r="J955" s="10">
        <v>0.2</v>
      </c>
      <c r="K955" s="7">
        <v>566.09</v>
      </c>
      <c r="L955" t="b">
        <f t="shared" si="14"/>
        <v>0</v>
      </c>
    </row>
    <row r="956" spans="1:12">
      <c r="A956" s="2">
        <v>100954</v>
      </c>
      <c r="B956" s="14">
        <v>45882</v>
      </c>
      <c r="C956" s="2" t="s">
        <v>96</v>
      </c>
      <c r="D956" s="2" t="s">
        <v>173</v>
      </c>
      <c r="E956" s="2" t="s">
        <v>184</v>
      </c>
      <c r="F956" s="2" t="s">
        <v>189</v>
      </c>
      <c r="G956" s="2" t="s">
        <v>193</v>
      </c>
      <c r="H956" s="2">
        <v>4</v>
      </c>
      <c r="I956" s="5">
        <v>340000</v>
      </c>
      <c r="J956" s="10">
        <v>0.1</v>
      </c>
      <c r="K956" s="7">
        <v>39493.440000000002</v>
      </c>
      <c r="L956" t="b">
        <f t="shared" si="14"/>
        <v>0</v>
      </c>
    </row>
    <row r="957" spans="1:12">
      <c r="A957" s="2">
        <v>100955</v>
      </c>
      <c r="B957" s="14">
        <v>45788</v>
      </c>
      <c r="C957" s="2" t="s">
        <v>122</v>
      </c>
      <c r="D957" s="2" t="s">
        <v>175</v>
      </c>
      <c r="E957" s="2" t="s">
        <v>186</v>
      </c>
      <c r="F957" s="2" t="s">
        <v>192</v>
      </c>
      <c r="G957" s="2" t="s">
        <v>207</v>
      </c>
      <c r="H957" s="2">
        <v>3</v>
      </c>
      <c r="I957" s="5">
        <v>5400</v>
      </c>
      <c r="J957" s="10">
        <v>0.15</v>
      </c>
      <c r="K957" s="7">
        <v>722.58</v>
      </c>
      <c r="L957" t="b">
        <f t="shared" si="14"/>
        <v>0</v>
      </c>
    </row>
    <row r="958" spans="1:12">
      <c r="A958" s="2">
        <v>100956</v>
      </c>
      <c r="B958" s="14">
        <v>45761</v>
      </c>
      <c r="C958" s="2" t="s">
        <v>74</v>
      </c>
      <c r="D958" s="2" t="s">
        <v>174</v>
      </c>
      <c r="E958" s="2" t="s">
        <v>187</v>
      </c>
      <c r="F958" s="2" t="s">
        <v>191</v>
      </c>
      <c r="G958" s="2" t="s">
        <v>197</v>
      </c>
      <c r="H958" s="2">
        <v>2</v>
      </c>
      <c r="I958" s="5">
        <v>116000</v>
      </c>
      <c r="J958" s="10">
        <v>0.1</v>
      </c>
      <c r="K958" s="7">
        <v>24233.71</v>
      </c>
      <c r="L958" t="b">
        <f t="shared" si="14"/>
        <v>0</v>
      </c>
    </row>
    <row r="959" spans="1:12">
      <c r="A959" s="2">
        <v>100957</v>
      </c>
      <c r="B959" s="14">
        <v>45761</v>
      </c>
      <c r="C959" s="2" t="s">
        <v>105</v>
      </c>
      <c r="D959" s="2" t="s">
        <v>165</v>
      </c>
      <c r="E959" s="2" t="s">
        <v>186</v>
      </c>
      <c r="F959" s="2" t="s">
        <v>191</v>
      </c>
      <c r="G959" s="2" t="s">
        <v>209</v>
      </c>
      <c r="H959" s="2">
        <v>2</v>
      </c>
      <c r="I959" s="5">
        <v>52000</v>
      </c>
      <c r="J959" s="10">
        <v>0.15</v>
      </c>
      <c r="K959" s="7">
        <v>5539.21</v>
      </c>
      <c r="L959" t="b">
        <f t="shared" si="14"/>
        <v>0</v>
      </c>
    </row>
    <row r="960" spans="1:12">
      <c r="A960" s="2">
        <v>100958</v>
      </c>
      <c r="B960" s="14">
        <v>45871</v>
      </c>
      <c r="C960" s="2" t="s">
        <v>112</v>
      </c>
      <c r="D960" s="2" t="s">
        <v>177</v>
      </c>
      <c r="E960" s="2" t="s">
        <v>181</v>
      </c>
      <c r="F960" s="2" t="s">
        <v>191</v>
      </c>
      <c r="G960" s="2" t="s">
        <v>200</v>
      </c>
      <c r="H960" s="2">
        <v>3</v>
      </c>
      <c r="I960" s="5">
        <v>84000</v>
      </c>
      <c r="J960" s="10">
        <v>0.1</v>
      </c>
      <c r="K960" s="7">
        <v>9692.2099999999991</v>
      </c>
      <c r="L960" t="b">
        <f t="shared" si="14"/>
        <v>0</v>
      </c>
    </row>
    <row r="961" spans="1:12">
      <c r="A961" s="2">
        <v>100959</v>
      </c>
      <c r="B961" s="14">
        <v>45855</v>
      </c>
      <c r="C961" s="2" t="s">
        <v>26</v>
      </c>
      <c r="D961" s="2" t="s">
        <v>166</v>
      </c>
      <c r="E961" s="2" t="s">
        <v>181</v>
      </c>
      <c r="F961" s="2" t="s">
        <v>190</v>
      </c>
      <c r="G961" s="2" t="s">
        <v>199</v>
      </c>
      <c r="H961" s="2">
        <v>4</v>
      </c>
      <c r="I961" s="5">
        <v>7200</v>
      </c>
      <c r="J961" s="10">
        <v>0.2</v>
      </c>
      <c r="K961" s="7">
        <v>943.75</v>
      </c>
      <c r="L961" t="b">
        <f t="shared" si="14"/>
        <v>0</v>
      </c>
    </row>
    <row r="962" spans="1:12">
      <c r="A962" s="2">
        <v>100960</v>
      </c>
      <c r="B962" s="14">
        <v>45791</v>
      </c>
      <c r="C962" s="2" t="s">
        <v>135</v>
      </c>
      <c r="D962" s="2" t="s">
        <v>177</v>
      </c>
      <c r="E962" s="2" t="s">
        <v>182</v>
      </c>
      <c r="F962" s="2" t="s">
        <v>191</v>
      </c>
      <c r="G962" s="2" t="s">
        <v>200</v>
      </c>
      <c r="H962" s="2">
        <v>1</v>
      </c>
      <c r="I962" s="5">
        <v>28000</v>
      </c>
      <c r="J962" s="10">
        <v>0.1</v>
      </c>
      <c r="K962" s="7">
        <v>4523.0200000000004</v>
      </c>
      <c r="L962" t="b">
        <f t="shared" si="14"/>
        <v>0</v>
      </c>
    </row>
    <row r="963" spans="1:12">
      <c r="A963" s="2">
        <v>100961</v>
      </c>
      <c r="B963" s="14">
        <v>45872</v>
      </c>
      <c r="C963" s="2" t="s">
        <v>33</v>
      </c>
      <c r="D963" s="2" t="s">
        <v>175</v>
      </c>
      <c r="E963" s="2" t="s">
        <v>182</v>
      </c>
      <c r="F963" s="2" t="s">
        <v>189</v>
      </c>
      <c r="G963" s="2" t="s">
        <v>196</v>
      </c>
      <c r="H963" s="2">
        <v>2</v>
      </c>
      <c r="I963" s="5">
        <v>110000</v>
      </c>
      <c r="J963" s="10">
        <v>0.2</v>
      </c>
      <c r="K963" s="7">
        <v>19141.75</v>
      </c>
      <c r="L963" t="b">
        <f t="shared" ref="L963:L1006" si="15">COUNTIF(A:A, A963) &gt; 1</f>
        <v>0</v>
      </c>
    </row>
    <row r="964" spans="1:12">
      <c r="A964" s="2">
        <v>100962</v>
      </c>
      <c r="B964" s="14">
        <v>45836</v>
      </c>
      <c r="C964" s="2" t="s">
        <v>134</v>
      </c>
      <c r="D964" s="2" t="s">
        <v>175</v>
      </c>
      <c r="E964" s="2" t="s">
        <v>187</v>
      </c>
      <c r="F964" s="2" t="s">
        <v>192</v>
      </c>
      <c r="G964" s="2" t="s">
        <v>207</v>
      </c>
      <c r="H964" s="2">
        <v>4</v>
      </c>
      <c r="I964" s="5">
        <v>7200</v>
      </c>
      <c r="J964" s="10">
        <v>0.2</v>
      </c>
      <c r="K964" s="7">
        <v>776.74</v>
      </c>
      <c r="L964" t="b">
        <f t="shared" si="15"/>
        <v>0</v>
      </c>
    </row>
    <row r="965" spans="1:12">
      <c r="A965" s="2">
        <v>100963</v>
      </c>
      <c r="B965" s="14">
        <v>45963</v>
      </c>
      <c r="C965" s="2" t="s">
        <v>122</v>
      </c>
      <c r="D965" s="2" t="s">
        <v>175</v>
      </c>
      <c r="E965" s="2" t="s">
        <v>182</v>
      </c>
      <c r="F965" s="2" t="s">
        <v>191</v>
      </c>
      <c r="G965" s="2" t="s">
        <v>197</v>
      </c>
      <c r="H965" s="2">
        <v>1</v>
      </c>
      <c r="I965" s="5">
        <v>58000</v>
      </c>
      <c r="J965" s="10">
        <v>0.2</v>
      </c>
      <c r="K965" s="7">
        <v>7848.06</v>
      </c>
      <c r="L965" t="b">
        <f t="shared" si="15"/>
        <v>0</v>
      </c>
    </row>
    <row r="966" spans="1:12">
      <c r="A966" s="2">
        <v>100964</v>
      </c>
      <c r="B966" s="14">
        <v>45672</v>
      </c>
      <c r="C966" s="2" t="s">
        <v>79</v>
      </c>
      <c r="D966" s="2" t="s">
        <v>165</v>
      </c>
      <c r="E966" s="2" t="s">
        <v>181</v>
      </c>
      <c r="F966" s="2" t="s">
        <v>191</v>
      </c>
      <c r="G966" s="2" t="s">
        <v>197</v>
      </c>
      <c r="H966" s="2">
        <v>1</v>
      </c>
      <c r="I966" s="5">
        <v>58000</v>
      </c>
      <c r="J966" s="10">
        <v>0.15</v>
      </c>
      <c r="K966" s="7">
        <v>10991.52</v>
      </c>
      <c r="L966" t="b">
        <f t="shared" si="15"/>
        <v>0</v>
      </c>
    </row>
    <row r="967" spans="1:12">
      <c r="A967" s="2">
        <v>100965</v>
      </c>
      <c r="B967" s="14">
        <v>45768</v>
      </c>
      <c r="C967" s="2" t="s">
        <v>118</v>
      </c>
      <c r="D967" s="2" t="s">
        <v>166</v>
      </c>
      <c r="E967" s="2" t="s">
        <v>184</v>
      </c>
      <c r="F967" s="2" t="s">
        <v>189</v>
      </c>
      <c r="G967" s="2" t="s">
        <v>198</v>
      </c>
      <c r="H967" s="2">
        <v>4</v>
      </c>
      <c r="I967" s="5">
        <v>180000</v>
      </c>
      <c r="J967" s="10">
        <v>0.1</v>
      </c>
      <c r="K967" s="7">
        <v>27503.52</v>
      </c>
      <c r="L967" t="b">
        <f t="shared" si="15"/>
        <v>0</v>
      </c>
    </row>
    <row r="968" spans="1:12">
      <c r="A968" s="2">
        <v>100966</v>
      </c>
      <c r="B968" s="14">
        <v>45814</v>
      </c>
      <c r="C968" s="2" t="s">
        <v>12</v>
      </c>
      <c r="D968" s="2" t="s">
        <v>165</v>
      </c>
      <c r="E968" s="2" t="s">
        <v>186</v>
      </c>
      <c r="F968" s="2" t="s">
        <v>190</v>
      </c>
      <c r="G968" s="2" t="s">
        <v>204</v>
      </c>
      <c r="H968" s="2">
        <v>3</v>
      </c>
      <c r="I968" s="5">
        <v>1500</v>
      </c>
      <c r="J968" s="10">
        <v>0.2</v>
      </c>
      <c r="K968" s="7">
        <v>291.23</v>
      </c>
      <c r="L968" t="b">
        <f t="shared" si="15"/>
        <v>0</v>
      </c>
    </row>
    <row r="969" spans="1:12">
      <c r="A969" s="2">
        <v>100967</v>
      </c>
      <c r="B969" s="14">
        <v>45946</v>
      </c>
      <c r="C969" s="2" t="s">
        <v>98</v>
      </c>
      <c r="D969" s="2" t="s">
        <v>174</v>
      </c>
      <c r="E969" s="2" t="s">
        <v>188</v>
      </c>
      <c r="F969" s="2" t="s">
        <v>191</v>
      </c>
      <c r="G969" s="2" t="s">
        <v>197</v>
      </c>
      <c r="H969" s="2">
        <v>3</v>
      </c>
      <c r="I969" s="5">
        <v>174000</v>
      </c>
      <c r="J969" s="10">
        <v>0.05</v>
      </c>
      <c r="K969" s="7">
        <v>28286.799999999999</v>
      </c>
      <c r="L969" t="b">
        <f t="shared" si="15"/>
        <v>0</v>
      </c>
    </row>
    <row r="970" spans="1:12">
      <c r="A970" s="2">
        <v>100968</v>
      </c>
      <c r="B970" s="14">
        <v>45888</v>
      </c>
      <c r="C970" s="2" t="s">
        <v>90</v>
      </c>
      <c r="D970" s="2" t="s">
        <v>172</v>
      </c>
      <c r="E970" s="2" t="s">
        <v>183</v>
      </c>
      <c r="F970" s="2" t="s">
        <v>192</v>
      </c>
      <c r="G970" s="2" t="s">
        <v>208</v>
      </c>
      <c r="H970" s="2">
        <v>3</v>
      </c>
      <c r="I970" s="5">
        <v>9600</v>
      </c>
      <c r="J970" s="10">
        <v>0.1</v>
      </c>
      <c r="K970" s="7">
        <v>1425.65</v>
      </c>
      <c r="L970" t="b">
        <f t="shared" si="15"/>
        <v>0</v>
      </c>
    </row>
    <row r="971" spans="1:12">
      <c r="A971" s="2">
        <v>100969</v>
      </c>
      <c r="B971" s="14">
        <v>45814</v>
      </c>
      <c r="C971" s="2" t="s">
        <v>132</v>
      </c>
      <c r="D971" s="2" t="s">
        <v>171</v>
      </c>
      <c r="E971" s="2" t="s">
        <v>188</v>
      </c>
      <c r="F971" s="2" t="s">
        <v>191</v>
      </c>
      <c r="G971" s="2" t="s">
        <v>197</v>
      </c>
      <c r="H971" s="2">
        <v>2</v>
      </c>
      <c r="I971" s="5">
        <v>116000</v>
      </c>
      <c r="J971" s="10">
        <v>0.2</v>
      </c>
      <c r="K971" s="7">
        <v>18582.14</v>
      </c>
      <c r="L971" t="b">
        <f t="shared" si="15"/>
        <v>0</v>
      </c>
    </row>
    <row r="972" spans="1:12">
      <c r="A972" s="2">
        <v>100970</v>
      </c>
      <c r="B972" s="14">
        <v>45840</v>
      </c>
      <c r="C972" s="2" t="s">
        <v>160</v>
      </c>
      <c r="D972" s="2" t="s">
        <v>172</v>
      </c>
      <c r="E972" s="2" t="s">
        <v>188</v>
      </c>
      <c r="F972" s="2" t="s">
        <v>191</v>
      </c>
      <c r="G972" s="2" t="s">
        <v>209</v>
      </c>
      <c r="H972" s="2">
        <v>1</v>
      </c>
      <c r="I972" s="5">
        <v>26000</v>
      </c>
      <c r="J972" s="10">
        <v>0.1</v>
      </c>
      <c r="K972" s="7">
        <v>4037.7</v>
      </c>
      <c r="L972" t="b">
        <f t="shared" si="15"/>
        <v>0</v>
      </c>
    </row>
    <row r="973" spans="1:12">
      <c r="A973" s="2">
        <v>100971</v>
      </c>
      <c r="B973" s="14">
        <v>45842</v>
      </c>
      <c r="C973" s="2" t="s">
        <v>98</v>
      </c>
      <c r="D973" s="2" t="s">
        <v>174</v>
      </c>
      <c r="E973" s="2" t="s">
        <v>181</v>
      </c>
      <c r="F973" s="2" t="s">
        <v>189</v>
      </c>
      <c r="G973" s="2" t="s">
        <v>196</v>
      </c>
      <c r="H973" s="2">
        <v>2</v>
      </c>
      <c r="I973" s="5">
        <v>110000</v>
      </c>
      <c r="J973" s="10">
        <v>0.1</v>
      </c>
      <c r="K973" s="7">
        <v>19146.91</v>
      </c>
      <c r="L973" t="b">
        <f t="shared" si="15"/>
        <v>0</v>
      </c>
    </row>
    <row r="974" spans="1:12">
      <c r="A974" s="2">
        <v>100972</v>
      </c>
      <c r="B974" s="14">
        <v>45946</v>
      </c>
      <c r="C974" s="2" t="s">
        <v>77</v>
      </c>
      <c r="D974" s="2" t="s">
        <v>165</v>
      </c>
      <c r="E974" s="2" t="s">
        <v>188</v>
      </c>
      <c r="F974" s="2" t="s">
        <v>189</v>
      </c>
      <c r="G974" s="2" t="s">
        <v>193</v>
      </c>
      <c r="H974" s="2">
        <v>4</v>
      </c>
      <c r="I974" s="5">
        <v>340000</v>
      </c>
      <c r="J974" s="10">
        <v>0.05</v>
      </c>
      <c r="K974" s="7">
        <v>50735.79</v>
      </c>
      <c r="L974" t="b">
        <f t="shared" si="15"/>
        <v>0</v>
      </c>
    </row>
    <row r="975" spans="1:12">
      <c r="A975" s="2">
        <v>100973</v>
      </c>
      <c r="B975" s="14">
        <v>45970</v>
      </c>
      <c r="C975" s="2" t="s">
        <v>120</v>
      </c>
      <c r="D975" s="2" t="s">
        <v>175</v>
      </c>
      <c r="E975" s="2" t="s">
        <v>186</v>
      </c>
      <c r="F975" s="2" t="s">
        <v>190</v>
      </c>
      <c r="G975" s="2" t="s">
        <v>199</v>
      </c>
      <c r="H975" s="2">
        <v>1</v>
      </c>
      <c r="I975" s="5">
        <v>1800</v>
      </c>
      <c r="J975" s="10">
        <v>0.1</v>
      </c>
      <c r="K975" s="7">
        <v>295.91000000000003</v>
      </c>
      <c r="L975" t="b">
        <f t="shared" si="15"/>
        <v>0</v>
      </c>
    </row>
    <row r="976" spans="1:12">
      <c r="A976" s="2">
        <v>100974</v>
      </c>
      <c r="B976" s="14">
        <v>45853</v>
      </c>
      <c r="C976" s="2" t="s">
        <v>146</v>
      </c>
      <c r="D976" s="2" t="s">
        <v>169</v>
      </c>
      <c r="E976" s="2" t="s">
        <v>187</v>
      </c>
      <c r="F976" s="2" t="s">
        <v>190</v>
      </c>
      <c r="G976" s="2" t="s">
        <v>195</v>
      </c>
      <c r="H976" s="2">
        <v>2</v>
      </c>
      <c r="I976" s="5">
        <v>1600</v>
      </c>
      <c r="J976" s="10">
        <v>0.2</v>
      </c>
      <c r="K976" s="7">
        <v>206.52</v>
      </c>
      <c r="L976" t="b">
        <f t="shared" si="15"/>
        <v>0</v>
      </c>
    </row>
    <row r="977" spans="1:12">
      <c r="A977" s="2">
        <v>100975</v>
      </c>
      <c r="B977" s="14">
        <v>45743</v>
      </c>
      <c r="C977" s="2" t="s">
        <v>70</v>
      </c>
      <c r="D977" s="2" t="s">
        <v>166</v>
      </c>
      <c r="E977" s="2" t="s">
        <v>185</v>
      </c>
      <c r="F977" s="2" t="s">
        <v>192</v>
      </c>
      <c r="G977" s="2" t="s">
        <v>205</v>
      </c>
      <c r="H977" s="2">
        <v>1</v>
      </c>
      <c r="I977" s="5">
        <v>4500</v>
      </c>
      <c r="J977" s="10">
        <v>0.05</v>
      </c>
      <c r="K977" s="7">
        <v>782.89</v>
      </c>
      <c r="L977" t="b">
        <f t="shared" si="15"/>
        <v>0</v>
      </c>
    </row>
    <row r="978" spans="1:12">
      <c r="A978" s="2">
        <v>100976</v>
      </c>
      <c r="B978" s="14">
        <v>45979</v>
      </c>
      <c r="C978" s="2" t="s">
        <v>31</v>
      </c>
      <c r="D978" s="2" t="s">
        <v>168</v>
      </c>
      <c r="E978" s="2" t="s">
        <v>182</v>
      </c>
      <c r="F978" s="2" t="s">
        <v>189</v>
      </c>
      <c r="G978" s="2" t="s">
        <v>193</v>
      </c>
      <c r="H978" s="2">
        <v>2</v>
      </c>
      <c r="I978" s="5">
        <v>170000</v>
      </c>
      <c r="J978" s="10">
        <v>0.1</v>
      </c>
      <c r="K978" s="7">
        <v>19630.57</v>
      </c>
      <c r="L978" t="b">
        <f t="shared" si="15"/>
        <v>0</v>
      </c>
    </row>
    <row r="979" spans="1:12">
      <c r="A979" s="2">
        <v>100977</v>
      </c>
      <c r="B979" s="14">
        <v>45931</v>
      </c>
      <c r="C979" s="2" t="s">
        <v>61</v>
      </c>
      <c r="D979" s="2" t="s">
        <v>178</v>
      </c>
      <c r="E979" s="2" t="s">
        <v>185</v>
      </c>
      <c r="F979" s="2" t="s">
        <v>190</v>
      </c>
      <c r="G979" s="2" t="s">
        <v>201</v>
      </c>
      <c r="H979" s="2">
        <v>3</v>
      </c>
      <c r="I979" s="5">
        <v>4500</v>
      </c>
      <c r="J979" s="10">
        <v>0.1</v>
      </c>
      <c r="K979" s="7">
        <v>757.31</v>
      </c>
      <c r="L979" t="b">
        <f t="shared" si="15"/>
        <v>0</v>
      </c>
    </row>
    <row r="980" spans="1:12">
      <c r="A980" s="2">
        <v>100978</v>
      </c>
      <c r="B980" s="14">
        <v>45778</v>
      </c>
      <c r="C980" s="2" t="s">
        <v>110</v>
      </c>
      <c r="D980" s="2" t="s">
        <v>169</v>
      </c>
      <c r="E980" s="2" t="s">
        <v>184</v>
      </c>
      <c r="F980" s="2" t="s">
        <v>191</v>
      </c>
      <c r="G980" s="2" t="s">
        <v>197</v>
      </c>
      <c r="H980" s="2">
        <v>3</v>
      </c>
      <c r="I980" s="5">
        <v>174000</v>
      </c>
      <c r="J980" s="10">
        <v>0.2</v>
      </c>
      <c r="K980" s="7">
        <v>33103.199999999997</v>
      </c>
      <c r="L980" t="b">
        <f t="shared" si="15"/>
        <v>0</v>
      </c>
    </row>
    <row r="981" spans="1:12">
      <c r="A981" s="2">
        <v>100979</v>
      </c>
      <c r="B981" s="14">
        <v>45721</v>
      </c>
      <c r="C981" s="2" t="s">
        <v>15</v>
      </c>
      <c r="D981" s="2" t="s">
        <v>167</v>
      </c>
      <c r="E981" s="2" t="s">
        <v>186</v>
      </c>
      <c r="F981" s="2" t="s">
        <v>192</v>
      </c>
      <c r="G981" s="2" t="s">
        <v>207</v>
      </c>
      <c r="H981" s="2">
        <v>2</v>
      </c>
      <c r="I981" s="5">
        <v>3600</v>
      </c>
      <c r="J981" s="10">
        <v>0.05</v>
      </c>
      <c r="K981" s="7">
        <v>793.05</v>
      </c>
      <c r="L981" t="b">
        <f t="shared" si="15"/>
        <v>0</v>
      </c>
    </row>
    <row r="982" spans="1:12">
      <c r="A982" s="2">
        <v>100980</v>
      </c>
      <c r="B982" s="14">
        <v>45987</v>
      </c>
      <c r="C982" s="2" t="s">
        <v>50</v>
      </c>
      <c r="D982" s="2" t="s">
        <v>164</v>
      </c>
      <c r="E982" s="2" t="s">
        <v>186</v>
      </c>
      <c r="F982" s="2" t="s">
        <v>192</v>
      </c>
      <c r="G982" s="2" t="s">
        <v>205</v>
      </c>
      <c r="H982" s="2">
        <v>3</v>
      </c>
      <c r="I982" s="5">
        <v>13500</v>
      </c>
      <c r="J982" s="10">
        <v>0.05</v>
      </c>
      <c r="K982" s="7">
        <v>2196.0500000000002</v>
      </c>
      <c r="L982" t="b">
        <f t="shared" si="15"/>
        <v>0</v>
      </c>
    </row>
    <row r="983" spans="1:12">
      <c r="A983" s="2">
        <v>100981</v>
      </c>
      <c r="B983" s="14">
        <v>46010</v>
      </c>
      <c r="C983" s="2" t="s">
        <v>88</v>
      </c>
      <c r="D983" s="2" t="s">
        <v>164</v>
      </c>
      <c r="E983" s="2" t="s">
        <v>183</v>
      </c>
      <c r="F983" s="2" t="s">
        <v>191</v>
      </c>
      <c r="G983" s="2" t="s">
        <v>209</v>
      </c>
      <c r="H983" s="2">
        <v>4</v>
      </c>
      <c r="I983" s="5">
        <v>104000</v>
      </c>
      <c r="J983" s="10">
        <v>0.2</v>
      </c>
      <c r="K983" s="7">
        <v>10364.89</v>
      </c>
      <c r="L983" t="b">
        <f t="shared" si="15"/>
        <v>0</v>
      </c>
    </row>
    <row r="984" spans="1:12">
      <c r="A984" s="2">
        <v>100982</v>
      </c>
      <c r="B984" s="14">
        <v>45775</v>
      </c>
      <c r="C984" s="2" t="s">
        <v>157</v>
      </c>
      <c r="D984" s="2" t="s">
        <v>170</v>
      </c>
      <c r="E984" s="2" t="s">
        <v>186</v>
      </c>
      <c r="F984" s="2" t="s">
        <v>191</v>
      </c>
      <c r="G984" s="2" t="s">
        <v>209</v>
      </c>
      <c r="H984" s="2">
        <v>1</v>
      </c>
      <c r="I984" s="5">
        <v>26000</v>
      </c>
      <c r="J984" s="10">
        <v>0.2</v>
      </c>
      <c r="K984" s="7">
        <v>2930.25</v>
      </c>
      <c r="L984" t="b">
        <f t="shared" si="15"/>
        <v>0</v>
      </c>
    </row>
    <row r="985" spans="1:12">
      <c r="A985" s="2">
        <v>100983</v>
      </c>
      <c r="B985" s="14">
        <v>45951</v>
      </c>
      <c r="C985" s="2" t="s">
        <v>96</v>
      </c>
      <c r="D985" s="2" t="s">
        <v>173</v>
      </c>
      <c r="E985" s="2" t="s">
        <v>182</v>
      </c>
      <c r="F985" s="2" t="s">
        <v>189</v>
      </c>
      <c r="G985" s="2" t="s">
        <v>193</v>
      </c>
      <c r="H985" s="2">
        <v>3</v>
      </c>
      <c r="I985" s="5">
        <v>255000</v>
      </c>
      <c r="J985" s="10">
        <v>0.1</v>
      </c>
      <c r="K985" s="7">
        <v>48998.36</v>
      </c>
      <c r="L985" t="b">
        <f t="shared" si="15"/>
        <v>0</v>
      </c>
    </row>
    <row r="986" spans="1:12">
      <c r="A986" s="2">
        <v>100984</v>
      </c>
      <c r="B986" s="14">
        <v>45875</v>
      </c>
      <c r="C986" s="2" t="s">
        <v>136</v>
      </c>
      <c r="D986" s="2" t="s">
        <v>165</v>
      </c>
      <c r="E986" s="2" t="s">
        <v>186</v>
      </c>
      <c r="F986" s="2" t="s">
        <v>189</v>
      </c>
      <c r="G986" s="2" t="s">
        <v>193</v>
      </c>
      <c r="H986" s="2">
        <v>2</v>
      </c>
      <c r="I986" s="5">
        <v>170000</v>
      </c>
      <c r="J986" s="10">
        <v>0.1</v>
      </c>
      <c r="K986" s="7">
        <v>35166.47</v>
      </c>
      <c r="L986" t="b">
        <f t="shared" si="15"/>
        <v>0</v>
      </c>
    </row>
    <row r="987" spans="1:12">
      <c r="A987" s="2">
        <v>100985</v>
      </c>
      <c r="B987" s="14">
        <v>45960</v>
      </c>
      <c r="C987" s="2" t="s">
        <v>105</v>
      </c>
      <c r="D987" s="2" t="s">
        <v>165</v>
      </c>
      <c r="E987" s="2" t="s">
        <v>188</v>
      </c>
      <c r="F987" s="2" t="s">
        <v>192</v>
      </c>
      <c r="G987" s="2" t="s">
        <v>208</v>
      </c>
      <c r="H987" s="2">
        <v>3</v>
      </c>
      <c r="I987" s="5">
        <v>9600</v>
      </c>
      <c r="J987" s="10">
        <v>0.2</v>
      </c>
      <c r="K987" s="7">
        <v>1323.33</v>
      </c>
      <c r="L987" t="b">
        <f t="shared" si="15"/>
        <v>0</v>
      </c>
    </row>
    <row r="988" spans="1:12">
      <c r="A988" s="2">
        <v>100986</v>
      </c>
      <c r="B988" s="14">
        <v>45885</v>
      </c>
      <c r="C988" s="2" t="s">
        <v>156</v>
      </c>
      <c r="D988" s="2" t="s">
        <v>176</v>
      </c>
      <c r="E988" s="2" t="s">
        <v>183</v>
      </c>
      <c r="F988" s="2" t="s">
        <v>190</v>
      </c>
      <c r="G988" s="2" t="s">
        <v>195</v>
      </c>
      <c r="H988" s="2">
        <v>3</v>
      </c>
      <c r="I988" s="5">
        <v>2400</v>
      </c>
      <c r="J988" s="10">
        <v>0.2</v>
      </c>
      <c r="K988" s="7">
        <v>269.05</v>
      </c>
      <c r="L988" t="b">
        <f t="shared" si="15"/>
        <v>0</v>
      </c>
    </row>
    <row r="989" spans="1:12">
      <c r="A989" s="2">
        <v>100987</v>
      </c>
      <c r="B989" s="14">
        <v>45755</v>
      </c>
      <c r="C989" s="2" t="s">
        <v>148</v>
      </c>
      <c r="D989" s="2" t="s">
        <v>178</v>
      </c>
      <c r="E989" s="2" t="s">
        <v>182</v>
      </c>
      <c r="F989" s="2" t="s">
        <v>191</v>
      </c>
      <c r="G989" s="2" t="s">
        <v>200</v>
      </c>
      <c r="H989" s="2">
        <v>4</v>
      </c>
      <c r="I989" s="5">
        <v>112000</v>
      </c>
      <c r="J989" s="10">
        <v>0.15</v>
      </c>
      <c r="K989" s="7">
        <v>20035.16</v>
      </c>
      <c r="L989" t="b">
        <f t="shared" si="15"/>
        <v>0</v>
      </c>
    </row>
    <row r="990" spans="1:12">
      <c r="A990" s="2">
        <v>100988</v>
      </c>
      <c r="B990" s="14">
        <v>45723</v>
      </c>
      <c r="C990" s="2" t="s">
        <v>75</v>
      </c>
      <c r="D990" s="2" t="s">
        <v>173</v>
      </c>
      <c r="E990" s="2" t="s">
        <v>187</v>
      </c>
      <c r="F990" s="2" t="s">
        <v>189</v>
      </c>
      <c r="G990" s="2" t="s">
        <v>193</v>
      </c>
      <c r="H990" s="2">
        <v>3</v>
      </c>
      <c r="I990" s="5">
        <v>255000</v>
      </c>
      <c r="J990" s="10">
        <v>0.05</v>
      </c>
      <c r="K990" s="7">
        <v>43250.34</v>
      </c>
      <c r="L990" t="b">
        <f t="shared" si="15"/>
        <v>0</v>
      </c>
    </row>
    <row r="991" spans="1:12">
      <c r="A991" s="2">
        <v>100989</v>
      </c>
      <c r="B991" s="14">
        <v>45672</v>
      </c>
      <c r="C991" s="2" t="s">
        <v>120</v>
      </c>
      <c r="D991" s="2" t="s">
        <v>175</v>
      </c>
      <c r="E991" s="2" t="s">
        <v>187</v>
      </c>
      <c r="F991" s="2" t="s">
        <v>189</v>
      </c>
      <c r="G991" s="2" t="s">
        <v>193</v>
      </c>
      <c r="H991" s="2">
        <v>1</v>
      </c>
      <c r="I991" s="5">
        <v>85000</v>
      </c>
      <c r="J991" s="10">
        <v>0.15</v>
      </c>
      <c r="K991" s="7">
        <v>16627.98</v>
      </c>
      <c r="L991" t="b">
        <f t="shared" si="15"/>
        <v>0</v>
      </c>
    </row>
    <row r="992" spans="1:12">
      <c r="A992" s="2">
        <v>100990</v>
      </c>
      <c r="B992" s="14">
        <v>45814</v>
      </c>
      <c r="C992" s="2" t="s">
        <v>61</v>
      </c>
      <c r="D992" s="2" t="s">
        <v>178</v>
      </c>
      <c r="E992" s="2" t="s">
        <v>187</v>
      </c>
      <c r="F992" s="2" t="s">
        <v>189</v>
      </c>
      <c r="G992" s="2" t="s">
        <v>196</v>
      </c>
      <c r="H992" s="2">
        <v>4</v>
      </c>
      <c r="I992" s="5">
        <v>220000</v>
      </c>
      <c r="J992" s="10">
        <v>0.1</v>
      </c>
      <c r="K992" s="7">
        <v>43555.63</v>
      </c>
      <c r="L992" t="b">
        <f t="shared" si="15"/>
        <v>0</v>
      </c>
    </row>
    <row r="993" spans="1:12">
      <c r="A993" s="2">
        <v>100991</v>
      </c>
      <c r="B993" s="14">
        <v>45793</v>
      </c>
      <c r="C993" s="2" t="s">
        <v>107</v>
      </c>
      <c r="D993" s="2" t="s">
        <v>171</v>
      </c>
      <c r="E993" s="2" t="s">
        <v>187</v>
      </c>
      <c r="F993" s="2" t="s">
        <v>192</v>
      </c>
      <c r="G993" s="2" t="s">
        <v>207</v>
      </c>
      <c r="H993" s="2">
        <v>4</v>
      </c>
      <c r="I993" s="5">
        <v>7200</v>
      </c>
      <c r="J993" s="10">
        <v>0.15</v>
      </c>
      <c r="K993" s="7">
        <v>751.11</v>
      </c>
      <c r="L993" t="b">
        <f t="shared" si="15"/>
        <v>0</v>
      </c>
    </row>
    <row r="994" spans="1:12">
      <c r="A994" s="2">
        <v>100992</v>
      </c>
      <c r="B994" s="14">
        <v>45918</v>
      </c>
      <c r="C994" s="2" t="s">
        <v>134</v>
      </c>
      <c r="D994" s="2" t="s">
        <v>175</v>
      </c>
      <c r="E994" s="2" t="s">
        <v>188</v>
      </c>
      <c r="F994" s="2" t="s">
        <v>189</v>
      </c>
      <c r="G994" s="2" t="s">
        <v>198</v>
      </c>
      <c r="H994" s="2">
        <v>4</v>
      </c>
      <c r="I994" s="5">
        <v>180000</v>
      </c>
      <c r="J994" s="10">
        <v>0.1</v>
      </c>
      <c r="K994" s="7">
        <v>36638.76</v>
      </c>
      <c r="L994" t="b">
        <f t="shared" si="15"/>
        <v>0</v>
      </c>
    </row>
    <row r="995" spans="1:12">
      <c r="A995" s="2">
        <v>100993</v>
      </c>
      <c r="B995" s="14">
        <v>45814</v>
      </c>
      <c r="C995" s="2" t="s">
        <v>58</v>
      </c>
      <c r="D995" s="2" t="s">
        <v>178</v>
      </c>
      <c r="E995" s="2" t="s">
        <v>186</v>
      </c>
      <c r="F995" s="2" t="s">
        <v>192</v>
      </c>
      <c r="G995" s="2" t="s">
        <v>203</v>
      </c>
      <c r="H995" s="2">
        <v>4</v>
      </c>
      <c r="I995" s="5">
        <v>8000</v>
      </c>
      <c r="J995" s="10">
        <v>0.05</v>
      </c>
      <c r="K995" s="7">
        <v>1443.9</v>
      </c>
      <c r="L995" t="b">
        <f t="shared" si="15"/>
        <v>0</v>
      </c>
    </row>
    <row r="996" spans="1:12">
      <c r="A996" s="2">
        <v>100994</v>
      </c>
      <c r="B996" s="14">
        <v>45704</v>
      </c>
      <c r="C996" s="2" t="s">
        <v>119</v>
      </c>
      <c r="D996" s="2" t="s">
        <v>173</v>
      </c>
      <c r="E996" s="2" t="s">
        <v>185</v>
      </c>
      <c r="F996" s="2" t="s">
        <v>191</v>
      </c>
      <c r="G996" s="2" t="s">
        <v>209</v>
      </c>
      <c r="H996" s="2">
        <v>2</v>
      </c>
      <c r="I996" s="5">
        <v>52000</v>
      </c>
      <c r="J996" s="10">
        <v>0.2</v>
      </c>
      <c r="K996" s="7">
        <v>9478.2900000000009</v>
      </c>
      <c r="L996" t="b">
        <f t="shared" si="15"/>
        <v>0</v>
      </c>
    </row>
    <row r="997" spans="1:12">
      <c r="A997" s="2">
        <v>100995</v>
      </c>
      <c r="B997" s="14">
        <v>45981</v>
      </c>
      <c r="C997" s="2" t="s">
        <v>80</v>
      </c>
      <c r="D997" s="2" t="s">
        <v>164</v>
      </c>
      <c r="E997" s="2" t="s">
        <v>182</v>
      </c>
      <c r="F997" s="2" t="s">
        <v>189</v>
      </c>
      <c r="G997" s="2" t="s">
        <v>194</v>
      </c>
      <c r="H997" s="2">
        <v>2</v>
      </c>
      <c r="I997" s="5">
        <v>124000</v>
      </c>
      <c r="J997" s="10">
        <v>0.1</v>
      </c>
      <c r="K997" s="7">
        <v>24293.65</v>
      </c>
      <c r="L997" t="b">
        <f t="shared" si="15"/>
        <v>0</v>
      </c>
    </row>
    <row r="998" spans="1:12">
      <c r="A998" s="2">
        <v>100996</v>
      </c>
      <c r="B998" s="14">
        <v>45989</v>
      </c>
      <c r="C998" s="2" t="s">
        <v>142</v>
      </c>
      <c r="D998" s="2" t="s">
        <v>178</v>
      </c>
      <c r="E998" s="2" t="s">
        <v>188</v>
      </c>
      <c r="F998" s="2" t="s">
        <v>191</v>
      </c>
      <c r="G998" s="2" t="s">
        <v>200</v>
      </c>
      <c r="H998" s="2">
        <v>4</v>
      </c>
      <c r="I998" s="5">
        <v>112000</v>
      </c>
      <c r="J998" s="10">
        <v>0.1</v>
      </c>
      <c r="K998" s="7">
        <v>16858.05</v>
      </c>
      <c r="L998" t="b">
        <f t="shared" si="15"/>
        <v>0</v>
      </c>
    </row>
    <row r="999" spans="1:12">
      <c r="A999" s="2">
        <v>100997</v>
      </c>
      <c r="B999" s="14">
        <v>45830</v>
      </c>
      <c r="C999" s="2" t="s">
        <v>88</v>
      </c>
      <c r="D999" s="2" t="s">
        <v>164</v>
      </c>
      <c r="E999" s="2" t="s">
        <v>187</v>
      </c>
      <c r="F999" s="2" t="s">
        <v>191</v>
      </c>
      <c r="G999" s="2" t="s">
        <v>197</v>
      </c>
      <c r="H999" s="2">
        <v>4</v>
      </c>
      <c r="I999" s="5">
        <v>232000</v>
      </c>
      <c r="J999" s="10">
        <v>0.05</v>
      </c>
      <c r="K999" s="7">
        <v>35965.410000000003</v>
      </c>
      <c r="L999" t="b">
        <f t="shared" si="15"/>
        <v>0</v>
      </c>
    </row>
    <row r="1000" spans="1:12">
      <c r="A1000" s="2">
        <v>100998</v>
      </c>
      <c r="B1000" s="14">
        <v>45935</v>
      </c>
      <c r="C1000" s="2" t="s">
        <v>68</v>
      </c>
      <c r="D1000" s="2" t="s">
        <v>175</v>
      </c>
      <c r="E1000" s="2" t="s">
        <v>184</v>
      </c>
      <c r="F1000" s="2" t="s">
        <v>192</v>
      </c>
      <c r="G1000" s="2" t="s">
        <v>203</v>
      </c>
      <c r="H1000" s="2">
        <v>4</v>
      </c>
      <c r="I1000" s="5">
        <v>8000</v>
      </c>
      <c r="J1000" s="10">
        <v>0.05</v>
      </c>
      <c r="K1000" s="7">
        <v>1830.25</v>
      </c>
      <c r="L1000" t="b">
        <f t="shared" si="15"/>
        <v>0</v>
      </c>
    </row>
    <row r="1001" spans="1:12">
      <c r="A1001" s="2">
        <v>100999</v>
      </c>
      <c r="B1001" s="14">
        <v>45781</v>
      </c>
      <c r="C1001" s="2" t="s">
        <v>136</v>
      </c>
      <c r="D1001" s="2" t="s">
        <v>165</v>
      </c>
      <c r="E1001" s="2" t="s">
        <v>186</v>
      </c>
      <c r="F1001" s="2" t="s">
        <v>191</v>
      </c>
      <c r="G1001" s="2" t="s">
        <v>202</v>
      </c>
      <c r="H1001" s="2">
        <v>1</v>
      </c>
      <c r="I1001" s="5">
        <v>38000</v>
      </c>
      <c r="J1001" s="10">
        <v>0.15</v>
      </c>
      <c r="K1001" s="7">
        <v>6977.15</v>
      </c>
      <c r="L1001" t="b">
        <f t="shared" si="15"/>
        <v>0</v>
      </c>
    </row>
    <row r="1002" spans="1:12">
      <c r="A1002"/>
      <c r="B1002"/>
      <c r="C1002"/>
      <c r="D1002"/>
      <c r="E1002"/>
      <c r="F1002"/>
      <c r="G1002"/>
      <c r="H1002"/>
      <c r="I1002" s="6"/>
      <c r="J1002" s="11"/>
      <c r="K1002" s="6"/>
      <c r="L1002" t="b">
        <f t="shared" si="15"/>
        <v>0</v>
      </c>
    </row>
    <row r="1003" spans="1:12">
      <c r="A1003"/>
      <c r="B1003"/>
      <c r="C1003"/>
      <c r="D1003"/>
      <c r="E1003"/>
      <c r="F1003"/>
      <c r="G1003"/>
      <c r="H1003"/>
      <c r="I1003" s="6"/>
      <c r="J1003" s="11"/>
      <c r="K1003" s="6"/>
      <c r="L1003" t="b">
        <f t="shared" si="15"/>
        <v>0</v>
      </c>
    </row>
    <row r="1004" spans="1:12">
      <c r="A1004"/>
      <c r="B1004"/>
      <c r="C1004"/>
      <c r="D1004"/>
      <c r="E1004"/>
      <c r="F1004"/>
      <c r="G1004"/>
      <c r="H1004"/>
      <c r="I1004" s="6"/>
      <c r="J1004" s="11"/>
      <c r="K1004" s="6"/>
      <c r="L1004" t="b">
        <f t="shared" si="15"/>
        <v>0</v>
      </c>
    </row>
    <row r="1005" spans="1:12">
      <c r="A1005"/>
      <c r="B1005"/>
      <c r="C1005"/>
      <c r="D1005"/>
      <c r="E1005"/>
      <c r="F1005"/>
      <c r="G1005"/>
      <c r="H1005"/>
      <c r="I1005" s="6"/>
      <c r="J1005" s="11"/>
      <c r="K1005" s="6"/>
      <c r="L1005" t="b">
        <f t="shared" si="15"/>
        <v>0</v>
      </c>
    </row>
    <row r="1006" spans="1:12">
      <c r="A1006"/>
      <c r="B1006"/>
      <c r="C1006"/>
      <c r="D1006"/>
      <c r="E1006"/>
      <c r="F1006"/>
      <c r="G1006"/>
      <c r="H1006"/>
      <c r="I1006" s="6"/>
      <c r="J1006" s="11"/>
      <c r="K1006" s="6"/>
      <c r="L1006" t="b">
        <f t="shared" si="15"/>
        <v>0</v>
      </c>
    </row>
  </sheetData>
  <autoFilter ref="A1:L100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18AB-EA35-4AAD-B870-CC17A2741432}">
  <dimension ref="A3:D8"/>
  <sheetViews>
    <sheetView workbookViewId="0">
      <selection activeCell="A3" sqref="A3"/>
    </sheetView>
  </sheetViews>
  <sheetFormatPr defaultRowHeight="14.4"/>
  <cols>
    <col min="1" max="1" width="11.109375" bestFit="1" customWidth="1"/>
    <col min="2" max="2" width="11.6640625" bestFit="1" customWidth="1"/>
    <col min="3" max="3" width="13.21875" bestFit="1" customWidth="1"/>
    <col min="4" max="4" width="13.44140625" customWidth="1"/>
  </cols>
  <sheetData>
    <row r="3" spans="1:4">
      <c r="A3" s="12" t="s">
        <v>5</v>
      </c>
      <c r="B3" t="s">
        <v>213</v>
      </c>
      <c r="C3" t="s">
        <v>214</v>
      </c>
      <c r="D3" t="s">
        <v>215</v>
      </c>
    </row>
    <row r="4" spans="1:4">
      <c r="A4" s="2" t="s">
        <v>192</v>
      </c>
      <c r="B4" s="8">
        <v>1281240</v>
      </c>
      <c r="C4" s="6">
        <v>199160.30000000005</v>
      </c>
      <c r="D4" s="13">
        <f>C4/B4</f>
        <v>0.15544339858262313</v>
      </c>
    </row>
    <row r="5" spans="1:4">
      <c r="A5" s="2" t="s">
        <v>189</v>
      </c>
      <c r="B5" s="8">
        <v>29753000</v>
      </c>
      <c r="C5" s="6">
        <v>4878201.7299999967</v>
      </c>
      <c r="D5" s="13">
        <f t="shared" ref="D5:D8" si="0">C5/B5</f>
        <v>0.1639566339528786</v>
      </c>
    </row>
    <row r="6" spans="1:4">
      <c r="A6" s="2" t="s">
        <v>190</v>
      </c>
      <c r="B6" s="8">
        <v>527440</v>
      </c>
      <c r="C6" s="6">
        <v>82663.520000000004</v>
      </c>
      <c r="D6" s="13">
        <f t="shared" si="0"/>
        <v>0.15672592143182162</v>
      </c>
    </row>
    <row r="7" spans="1:4">
      <c r="A7" s="2" t="s">
        <v>191</v>
      </c>
      <c r="B7" s="8">
        <v>16520000</v>
      </c>
      <c r="C7" s="6">
        <v>2614492.4800000009</v>
      </c>
      <c r="D7" s="13">
        <f t="shared" si="0"/>
        <v>0.1582622566585957</v>
      </c>
    </row>
    <row r="8" spans="1:4">
      <c r="A8" s="2" t="s">
        <v>212</v>
      </c>
      <c r="B8" s="8">
        <v>48081680</v>
      </c>
      <c r="C8" s="6">
        <v>7774518.0299999975</v>
      </c>
      <c r="D8" s="13">
        <f t="shared" si="0"/>
        <v>0.16169397637520147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3CEE-E3F7-40D8-8789-48127C757E0C}">
  <dimension ref="A3:D16"/>
  <sheetViews>
    <sheetView workbookViewId="0">
      <selection activeCell="B4" sqref="B4"/>
    </sheetView>
  </sheetViews>
  <sheetFormatPr defaultRowHeight="14.4"/>
  <cols>
    <col min="1" max="1" width="10.77734375" bestFit="1" customWidth="1"/>
    <col min="2" max="2" width="14.21875" bestFit="1" customWidth="1"/>
    <col min="3" max="3" width="13.21875" bestFit="1" customWidth="1"/>
    <col min="4" max="4" width="12.6640625" customWidth="1"/>
  </cols>
  <sheetData>
    <row r="3" spans="1:4">
      <c r="A3" s="12" t="s">
        <v>216</v>
      </c>
      <c r="B3" t="s">
        <v>213</v>
      </c>
      <c r="C3" t="s">
        <v>214</v>
      </c>
      <c r="D3" t="s">
        <v>229</v>
      </c>
    </row>
    <row r="4" spans="1:4">
      <c r="A4" s="2" t="s">
        <v>217</v>
      </c>
      <c r="B4" s="6">
        <v>3082100</v>
      </c>
      <c r="C4" s="6">
        <v>524551.62000000011</v>
      </c>
      <c r="D4" s="11">
        <f>C4/B4</f>
        <v>0.17019292690048995</v>
      </c>
    </row>
    <row r="5" spans="1:4">
      <c r="A5" s="2" t="s">
        <v>218</v>
      </c>
      <c r="B5" s="6">
        <v>3409800</v>
      </c>
      <c r="C5" s="6">
        <v>545687.32999999996</v>
      </c>
      <c r="D5" s="11">
        <f t="shared" ref="D5:D16" si="0">C5/B5</f>
        <v>0.16003499618745967</v>
      </c>
    </row>
    <row r="6" spans="1:4">
      <c r="A6" s="2" t="s">
        <v>219</v>
      </c>
      <c r="B6" s="6">
        <v>2134300</v>
      </c>
      <c r="C6" s="6">
        <v>355753.60999999987</v>
      </c>
      <c r="D6" s="11">
        <f t="shared" si="0"/>
        <v>0.16668397601087001</v>
      </c>
    </row>
    <row r="7" spans="1:4">
      <c r="A7" s="2" t="s">
        <v>220</v>
      </c>
      <c r="B7" s="6">
        <v>5949500</v>
      </c>
      <c r="C7" s="6">
        <v>961109.65</v>
      </c>
      <c r="D7" s="11">
        <f t="shared" si="0"/>
        <v>0.16154460879065469</v>
      </c>
    </row>
    <row r="8" spans="1:4">
      <c r="A8" s="2" t="s">
        <v>221</v>
      </c>
      <c r="B8" s="6">
        <v>3729800</v>
      </c>
      <c r="C8" s="6">
        <v>597102.46000000008</v>
      </c>
      <c r="D8" s="11">
        <f t="shared" si="0"/>
        <v>0.16008967236849164</v>
      </c>
    </row>
    <row r="9" spans="1:4">
      <c r="A9" s="2" t="s">
        <v>222</v>
      </c>
      <c r="B9" s="6">
        <v>5013400</v>
      </c>
      <c r="C9" s="6">
        <v>787745.19000000029</v>
      </c>
      <c r="D9" s="11">
        <f t="shared" si="0"/>
        <v>0.15712793513384135</v>
      </c>
    </row>
    <row r="10" spans="1:4">
      <c r="A10" s="2" t="s">
        <v>223</v>
      </c>
      <c r="B10" s="6">
        <v>3233640</v>
      </c>
      <c r="C10" s="6">
        <v>492446.76999999996</v>
      </c>
      <c r="D10" s="11">
        <f t="shared" si="0"/>
        <v>0.15228868086738165</v>
      </c>
    </row>
    <row r="11" spans="1:4">
      <c r="A11" s="2" t="s">
        <v>224</v>
      </c>
      <c r="B11" s="6">
        <v>4911900</v>
      </c>
      <c r="C11" s="6">
        <v>780428.62000000011</v>
      </c>
      <c r="D11" s="11">
        <f t="shared" si="0"/>
        <v>0.15888528268083635</v>
      </c>
    </row>
    <row r="12" spans="1:4">
      <c r="A12" s="2" t="s">
        <v>225</v>
      </c>
      <c r="B12" s="6">
        <v>4110140</v>
      </c>
      <c r="C12" s="6">
        <v>674703.37</v>
      </c>
      <c r="D12" s="11">
        <f t="shared" si="0"/>
        <v>0.16415581221077627</v>
      </c>
    </row>
    <row r="13" spans="1:4">
      <c r="A13" s="2" t="s">
        <v>226</v>
      </c>
      <c r="B13" s="6">
        <v>4141600</v>
      </c>
      <c r="C13" s="6">
        <v>754579.95000000019</v>
      </c>
      <c r="D13" s="11">
        <f t="shared" si="0"/>
        <v>0.18219527477303463</v>
      </c>
    </row>
    <row r="14" spans="1:4">
      <c r="A14" s="2" t="s">
        <v>227</v>
      </c>
      <c r="B14" s="6">
        <v>4680000</v>
      </c>
      <c r="C14" s="6">
        <v>727912.50000000023</v>
      </c>
      <c r="D14" s="11">
        <f t="shared" si="0"/>
        <v>0.15553685897435904</v>
      </c>
    </row>
    <row r="15" spans="1:4">
      <c r="A15" s="2" t="s">
        <v>228</v>
      </c>
      <c r="B15" s="6">
        <v>3685500</v>
      </c>
      <c r="C15" s="6">
        <v>572496.96000000008</v>
      </c>
      <c r="D15" s="11">
        <f t="shared" si="0"/>
        <v>0.15533766381766384</v>
      </c>
    </row>
    <row r="16" spans="1:4">
      <c r="A16" s="2" t="s">
        <v>212</v>
      </c>
      <c r="B16" s="6">
        <v>48081680</v>
      </c>
      <c r="C16" s="6">
        <v>7774518.0300000003</v>
      </c>
      <c r="D16" s="11">
        <f t="shared" si="0"/>
        <v>0.16169397637520153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C77F-BE02-4DC4-AC84-D9E366252C4D}">
  <dimension ref="B2:K14"/>
  <sheetViews>
    <sheetView showGridLines="0" tabSelected="1" topLeftCell="A3" workbookViewId="0">
      <selection activeCell="J22" sqref="J22"/>
    </sheetView>
  </sheetViews>
  <sheetFormatPr defaultRowHeight="14.4"/>
  <cols>
    <col min="2" max="2" width="13.77734375" customWidth="1"/>
    <col min="3" max="3" width="12.5546875" customWidth="1"/>
    <col min="4" max="4" width="15.44140625" customWidth="1"/>
    <col min="6" max="6" width="14.6640625" customWidth="1"/>
    <col min="8" max="8" width="13.44140625" customWidth="1"/>
  </cols>
  <sheetData>
    <row r="2" spans="2:11">
      <c r="B2" t="s">
        <v>230</v>
      </c>
      <c r="D2" t="s">
        <v>231</v>
      </c>
      <c r="F2" t="s">
        <v>232</v>
      </c>
      <c r="H2" t="s">
        <v>229</v>
      </c>
    </row>
    <row r="3" spans="2:11">
      <c r="B3" s="8">
        <f>Pivot_Analysis!B8</f>
        <v>48081680</v>
      </c>
      <c r="D3" s="6">
        <f>Pivot_Analysis!C8</f>
        <v>7774518.0299999975</v>
      </c>
      <c r="F3" s="15">
        <f>COUNTA([1]Cleaned_Data!A2:A1001)</f>
        <v>1000</v>
      </c>
      <c r="H3" s="11">
        <f>Pivot_Analysis!D8</f>
        <v>0.16169397637520147</v>
      </c>
    </row>
    <row r="14" spans="2:11">
      <c r="K1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Pivot_Analysis</vt:lpstr>
      <vt:lpstr>Monthly_Analysis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Sunshine🌻</dc:creator>
  <cp:lastModifiedBy>Shirin Shaikh</cp:lastModifiedBy>
  <dcterms:created xsi:type="dcterms:W3CDTF">2026-10-04T12:51:06Z</dcterms:created>
  <dcterms:modified xsi:type="dcterms:W3CDTF">2026-10-04T18:24:31Z</dcterms:modified>
</cp:coreProperties>
</file>